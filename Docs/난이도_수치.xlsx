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보스 수치" sheetId="2" state="visible" r:id="rId4"/>
    <sheet name="스테이지 종합" sheetId="3" state="visible" r:id="rId5"/>
    <sheet name="난이도 배율" sheetId="4" state="visible" r:id="rId6"/>
    <sheet name="그래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<sst xmlns="http://schemas.openxmlformats.org/spreadsheetml/2006/main" count="303" uniqueCount="143">
  <si>
    <r>
      <rPr>
        <b val="true"/>
        <sz val="14"/>
        <rFont val="WenQuanYi Zen Hei"/>
        <family val="2"/>
      </rPr>
      <t xml:space="preserve">비뢰도 난이도 수치 정리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일반 </t>
    </r>
    <r>
      <rPr>
        <b val="true"/>
        <sz val="14"/>
        <rFont val="Arial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어려움 </t>
    </r>
    <r>
      <rPr>
        <b val="true"/>
        <sz val="14"/>
        <rFont val="Arial"/>
        <family val="0"/>
        <charset val="1"/>
      </rPr>
      <t xml:space="preserve">/ </t>
    </r>
    <r>
      <rPr>
        <b val="true"/>
        <sz val="14"/>
        <rFont val="WenQuanYi Zen Hei"/>
        <family val="2"/>
      </rPr>
      <t xml:space="preserve">극악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</si>
  <si>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1"/>
        <color rgb="FF555555"/>
        <rFont val="WenQuanYi Zen Hei"/>
        <family val="2"/>
      </rPr>
      <t xml:space="preserve">게임 코드</t>
    </r>
    <r>
      <rPr>
        <i val="true"/>
        <sz val="11"/>
        <color rgb="FF555555"/>
        <rFont val="Arial"/>
        <family val="0"/>
        <charset val="1"/>
      </rPr>
      <t xml:space="preserve">(StageStars, Recommend, Realm)</t>
    </r>
    <r>
      <rPr>
        <i val="true"/>
        <sz val="11"/>
        <color rgb="FF555555"/>
        <rFont val="WenQuanYi Zen Hei"/>
        <family val="2"/>
      </rPr>
      <t xml:space="preserve">에서 추출한 현재 값입니다</t>
    </r>
    <r>
      <rPr>
        <i val="true"/>
        <sz val="11"/>
        <color rgb="FF555555"/>
        <rFont val="Arial"/>
        <family val="0"/>
        <charset val="1"/>
      </rPr>
      <t xml:space="preserve">. </t>
    </r>
    <r>
      <rPr>
        <i val="true"/>
        <sz val="11"/>
        <color rgb="FF555555"/>
        <rFont val="WenQuanYi Zen Hei"/>
        <family val="2"/>
      </rPr>
      <t xml:space="preserve">스테이지 </t>
    </r>
    <r>
      <rPr>
        <i val="true"/>
        <sz val="11"/>
        <color rgb="FF555555"/>
        <rFont val="Arial"/>
        <family val="0"/>
        <charset val="1"/>
      </rPr>
      <t xml:space="preserve">1~30</t>
    </r>
    <r>
      <rPr>
        <i val="true"/>
        <sz val="11"/>
        <color rgb="FF555555"/>
        <rFont val="WenQuanYi Zen Hei"/>
        <family val="2"/>
      </rPr>
      <t xml:space="preserve">의 보스 능력치</t>
    </r>
    <r>
      <rPr>
        <i val="true"/>
        <sz val="11"/>
        <color rgb="FF555555"/>
        <rFont val="Arial"/>
        <family val="0"/>
        <charset val="1"/>
      </rPr>
      <t xml:space="preserve">, </t>
    </r>
    <r>
      <rPr>
        <i val="true"/>
        <sz val="11"/>
        <color rgb="FF555555"/>
        <rFont val="WenQuanYi Zen Hei"/>
        <family val="2"/>
      </rPr>
      <t xml:space="preserve">추천 경지</t>
    </r>
    <r>
      <rPr>
        <i val="true"/>
        <sz val="11"/>
        <color rgb="FF555555"/>
        <rFont val="Arial"/>
        <family val="0"/>
        <charset val="1"/>
      </rPr>
      <t xml:space="preserve">, </t>
    </r>
    <r>
      <rPr>
        <i val="true"/>
        <sz val="11"/>
        <color rgb="FF555555"/>
        <rFont val="WenQuanYi Zen Hei"/>
        <family val="2"/>
      </rPr>
      <t xml:space="preserve">보상</t>
    </r>
    <r>
      <rPr>
        <i val="true"/>
        <sz val="11"/>
        <color rgb="FF555555"/>
        <rFont val="Arial"/>
        <family val="0"/>
        <charset val="1"/>
      </rPr>
      <t xml:space="preserve">, </t>
    </r>
    <r>
      <rPr>
        <i val="true"/>
        <sz val="11"/>
        <color rgb="FF555555"/>
        <rFont val="WenQuanYi Zen Hei"/>
        <family val="2"/>
      </rPr>
      <t xml:space="preserve">신속 한도를 난이도별로 비교합니다</t>
    </r>
    <r>
      <rPr>
        <i val="true"/>
        <sz val="11"/>
        <color rgb="FF555555"/>
        <rFont val="Arial"/>
        <family val="0"/>
        <charset val="1"/>
      </rPr>
      <t xml:space="preserve">.</t>
    </r>
  </si>
  <si>
    <t xml:space="preserve">항목</t>
  </si>
  <si>
    <t xml:space="preserve">일반</t>
  </si>
  <si>
    <t xml:space="preserve">어려움</t>
  </si>
  <si>
    <t xml:space="preserve">극악</t>
  </si>
  <si>
    <r>
      <rPr>
        <b val="true"/>
        <sz val="11"/>
        <color rgb="FFFFFFFF"/>
        <rFont val="WenQuanYi Zen Hei"/>
        <family val="2"/>
      </rPr>
      <t xml:space="preserve">어려움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일반</t>
    </r>
  </si>
  <si>
    <r>
      <rPr>
        <b val="true"/>
        <sz val="11"/>
        <color rgb="FFFFFFFF"/>
        <rFont val="WenQuanYi Zen Hei"/>
        <family val="2"/>
      </rPr>
      <t xml:space="preserve">극악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일반</t>
    </r>
  </si>
  <si>
    <r>
      <rPr>
        <sz val="11"/>
        <rFont val="WenQuanYi Zen Hei"/>
        <family val="2"/>
      </rPr>
      <t xml:space="preserve">적 체력 배율 </t>
    </r>
    <r>
      <rPr>
        <sz val="11"/>
        <rFont val="Arial"/>
        <family val="0"/>
        <charset val="1"/>
      </rPr>
      <t xml:space="preserve">(HpScale)</t>
    </r>
  </si>
  <si>
    <r>
      <rPr>
        <sz val="11"/>
        <rFont val="WenQuanYi Zen Hei"/>
        <family val="2"/>
      </rPr>
      <t xml:space="preserve">적 공격 배율 </t>
    </r>
    <r>
      <rPr>
        <sz val="11"/>
        <rFont val="Arial"/>
        <family val="0"/>
        <charset val="1"/>
      </rPr>
      <t xml:space="preserve">(AtkScale)</t>
    </r>
  </si>
  <si>
    <r>
      <rPr>
        <sz val="11"/>
        <rFont val="WenQuanYi Zen Hei"/>
        <family val="2"/>
      </rPr>
      <t xml:space="preserve">적 방어 배율 </t>
    </r>
    <r>
      <rPr>
        <sz val="11"/>
        <rFont val="Arial"/>
        <family val="0"/>
        <charset val="1"/>
      </rPr>
      <t xml:space="preserve">(DefScale)</t>
    </r>
  </si>
  <si>
    <r>
      <rPr>
        <sz val="11"/>
        <rFont val="WenQuanYi Zen Hei"/>
        <family val="2"/>
      </rPr>
      <t xml:space="preserve">보상 배율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두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경험치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</si>
  <si>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적 기준 레벨 시작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스테이지 </t>
    </r>
    <r>
      <rPr>
        <sz val="11"/>
        <rFont val="Arial"/>
        <family val="0"/>
        <charset val="1"/>
      </rPr>
      <t xml:space="preserve">1)</t>
    </r>
  </si>
  <si>
    <t xml:space="preserve">도전 가능 최소 레벨</t>
  </si>
  <si>
    <r>
      <rPr>
        <b val="true"/>
        <sz val="12"/>
        <rFont val="WenQuanYi Zen Hei"/>
        <family val="2"/>
      </rPr>
      <t xml:space="preserve">스테이지 </t>
    </r>
    <r>
      <rPr>
        <b val="true"/>
        <sz val="12"/>
        <rFont val="Arial"/>
        <family val="0"/>
        <charset val="1"/>
      </rPr>
      <t xml:space="preserve">30 </t>
    </r>
    <r>
      <rPr>
        <b val="true"/>
        <sz val="12"/>
        <rFont val="WenQuanYi Zen Hei"/>
        <family val="2"/>
      </rPr>
      <t xml:space="preserve">보스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대공자 비</t>
    </r>
    <r>
      <rPr>
        <b val="true"/>
        <sz val="12"/>
        <rFont val="Arial"/>
        <family val="0"/>
        <charset val="1"/>
      </rPr>
      <t xml:space="preserve">) </t>
    </r>
    <r>
      <rPr>
        <b val="true"/>
        <sz val="12"/>
        <rFont val="WenQuanYi Zen Hei"/>
        <family val="2"/>
      </rPr>
      <t xml:space="preserve">비교</t>
    </r>
  </si>
  <si>
    <t xml:space="preserve">체력</t>
  </si>
  <si>
    <t xml:space="preserve">공격</t>
  </si>
  <si>
    <t xml:space="preserve">방어</t>
  </si>
  <si>
    <t xml:space="preserve">종합 수치</t>
  </si>
  <si>
    <t xml:space="preserve">비류연 타수</t>
  </si>
  <si>
    <r>
      <rPr>
        <sz val="11"/>
        <rFont val="WenQuanYi Zen Hei"/>
        <family val="2"/>
      </rPr>
      <t xml:space="preserve">큰 기술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비류연 체력 대비 </t>
    </r>
    <r>
      <rPr>
        <sz val="11"/>
        <rFont val="Arial"/>
        <family val="0"/>
        <charset val="1"/>
      </rPr>
      <t xml:space="preserve">%)</t>
    </r>
  </si>
  <si>
    <t xml:space="preserve">읽는 법</t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</si>
  <si>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보스 수치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각 스테이지의 보스 한 명의 능력치입니다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공격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방어는 적 정보 창에 보이는 값이고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종합 수치는 체력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공격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방어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속도로 낸 경지 계산 값입니다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</si>
  <si>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비류연 타수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추천 레벨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일반은 추가 레벨 포함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어려움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극악은 해당 난이도 레벨 보정 포함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의 장비 없는 비류연이 위력 </t>
    </r>
    <r>
      <rPr>
        <sz val="11"/>
        <rFont val="Arial"/>
        <family val="0"/>
        <charset val="1"/>
      </rPr>
      <t xml:space="preserve">2.0 </t>
    </r>
    <r>
      <rPr>
        <sz val="11"/>
        <rFont val="WenQuanYi Zen Hei"/>
        <family val="2"/>
      </rPr>
      <t xml:space="preserve">무공으로 보스를 쓰러뜨리는 데 걸리는 타수입니다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</si>
  <si>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큰 기술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보스의 가장 센 일반 기술 한 번이 비류연 최대 체력의 몇 </t>
    </r>
    <r>
      <rPr>
        <sz val="11"/>
        <rFont val="Arial"/>
        <family val="0"/>
        <charset val="1"/>
      </rPr>
      <t xml:space="preserve">%</t>
    </r>
    <r>
      <rPr>
        <sz val="11"/>
        <rFont val="WenQuanYi Zen Hei"/>
        <family val="2"/>
      </rPr>
      <t xml:space="preserve">인지입니다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방어하면 </t>
    </r>
    <r>
      <rPr>
        <sz val="11"/>
        <rFont val="Arial"/>
        <family val="0"/>
        <charset val="1"/>
      </rPr>
      <t xml:space="preserve">x0.4</t>
    </r>
    <r>
      <rPr>
        <sz val="11"/>
        <rFont val="WenQuanYi Zen Hei"/>
        <family val="2"/>
      </rPr>
      <t xml:space="preserve">이고 실제 전투에서는 동료가 함께 맞습니다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</si>
  <si>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일반 난이도에는 체력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공격 상향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스테이지 </t>
    </r>
    <r>
      <rPr>
        <sz val="11"/>
        <rFont val="Arial"/>
        <family val="0"/>
        <charset val="1"/>
      </rPr>
      <t xml:space="preserve">1·6 x1.0, 7 x1.45 → 30 x2.6)</t>
    </r>
    <r>
      <rPr>
        <sz val="11"/>
        <rFont val="WenQuanYi Zen Hei"/>
        <family val="2"/>
      </rPr>
      <t xml:space="preserve">이 곱해져 있고 어려움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극악도 같은 상향을 받습니다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</si>
  <si>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어려움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극악 체력은 스테이지별 난이도 곡선</t>
    </r>
    <r>
      <rPr>
        <sz val="11"/>
        <rFont val="Arial"/>
        <family val="0"/>
        <charset val="1"/>
      </rPr>
      <t xml:space="preserve">(Ramp)</t>
    </r>
    <r>
      <rPr>
        <sz val="11"/>
        <rFont val="WenQuanYi Zen Hei"/>
        <family val="2"/>
      </rPr>
      <t xml:space="preserve">이 붙습니다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솔로 구간</t>
    </r>
    <r>
      <rPr>
        <sz val="11"/>
        <rFont val="Arial"/>
        <family val="0"/>
        <charset val="1"/>
      </rPr>
      <t xml:space="preserve">(1~6)</t>
    </r>
    <r>
      <rPr>
        <sz val="11"/>
        <rFont val="WenQuanYi Zen Hei"/>
        <family val="2"/>
      </rPr>
      <t xml:space="preserve">은 약하게</t>
    </r>
    <r>
      <rPr>
        <sz val="11"/>
        <rFont val="Arial"/>
        <family val="0"/>
        <charset val="1"/>
      </rPr>
      <t xml:space="preserve">, 7</t>
    </r>
    <r>
      <rPr>
        <sz val="11"/>
        <rFont val="WenQuanYi Zen Hei"/>
        <family val="2"/>
      </rPr>
      <t xml:space="preserve">부터 가파르게 오릅니다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</si>
  <si>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이 파일의 값은 게임 코드에서 뽑은 고정값입니다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파란 글씨는 규칙 상수</t>
    </r>
    <r>
      <rPr>
        <sz val="11"/>
        <rFont val="Arial"/>
        <family val="0"/>
        <charset val="1"/>
      </rPr>
      <t xml:space="preserve">). </t>
    </r>
    <r>
      <rPr>
        <sz val="11"/>
        <rFont val="WenQuanYi Zen Hei"/>
        <family val="2"/>
      </rPr>
      <t xml:space="preserve">코드를 바꾸면 다시 뽑아야 합니다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</si>
  <si>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스테이지 보스 능력치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난이도별</t>
    </r>
    <r>
      <rPr>
        <b val="true"/>
        <sz val="13"/>
        <rFont val="Arial"/>
        <family val="0"/>
        <charset val="1"/>
      </rPr>
      <t xml:space="preserve">)</t>
    </r>
  </si>
  <si>
    <t xml:space="preserve">스테이지</t>
  </si>
  <si>
    <t xml:space="preserve">스테이지 이름</t>
  </si>
  <si>
    <t xml:space="preserve">보스</t>
  </si>
  <si>
    <t xml:space="preserve">일반 대비 배율</t>
  </si>
  <si>
    <t xml:space="preserve">레벨</t>
  </si>
  <si>
    <t xml:space="preserve">속도</t>
  </si>
  <si>
    <r>
      <rPr>
        <b val="true"/>
        <sz val="11"/>
        <color rgb="FF000000"/>
        <rFont val="WenQuanYi Zen Hei"/>
        <family val="2"/>
      </rPr>
      <t xml:space="preserve">큰 기술 </t>
    </r>
    <r>
      <rPr>
        <b val="true"/>
        <sz val="11"/>
        <color rgb="FF000000"/>
        <rFont val="Arial"/>
        <family val="0"/>
        <charset val="1"/>
      </rPr>
      <t xml:space="preserve">%</t>
    </r>
  </si>
  <si>
    <t xml:space="preserve">체력 어려움</t>
  </si>
  <si>
    <t xml:space="preserve">체력 극악</t>
  </si>
  <si>
    <t xml:space="preserve">공격 어려움</t>
  </si>
  <si>
    <t xml:space="preserve">공격 극악</t>
  </si>
  <si>
    <t xml:space="preserve">아미산 숲</t>
  </si>
  <si>
    <t xml:space="preserve">백호</t>
  </si>
  <si>
    <t xml:space="preserve">중양표국</t>
  </si>
  <si>
    <t xml:space="preserve">비풍도 강장한</t>
  </si>
  <si>
    <t xml:space="preserve">호골채 매복</t>
  </si>
  <si>
    <t xml:space="preserve">패호 중광</t>
  </si>
  <si>
    <t xml:space="preserve">용골채 매복</t>
  </si>
  <si>
    <t xml:space="preserve">패룡 우악</t>
  </si>
  <si>
    <t xml:space="preserve">주주 윤하루</t>
  </si>
  <si>
    <t xml:space="preserve">염도 곽영희</t>
  </si>
  <si>
    <t xml:space="preserve">남창 호아장</t>
  </si>
  <si>
    <t xml:space="preserve">호아장주 호천상</t>
  </si>
  <si>
    <t xml:space="preserve">천무학관 검혼관</t>
  </si>
  <si>
    <t xml:space="preserve">호아장 대사형 호천강</t>
  </si>
  <si>
    <t xml:space="preserve">천무식당</t>
  </si>
  <si>
    <t xml:space="preserve">추가연</t>
  </si>
  <si>
    <t xml:space="preserve">천무학관 운향정</t>
  </si>
  <si>
    <t xml:space="preserve">선풍검룡 위지천</t>
  </si>
  <si>
    <t xml:space="preserve">백향관 침투</t>
  </si>
  <si>
    <t xml:space="preserve">빙백봉 나예린</t>
  </si>
  <si>
    <t xml:space="preserve">승급시험</t>
  </si>
  <si>
    <t xml:space="preserve">철검비룡 단대풍</t>
  </si>
  <si>
    <t xml:space="preserve">삼성무제 본선</t>
  </si>
  <si>
    <t xml:space="preserve">팔비신검 전옥기</t>
  </si>
  <si>
    <t xml:space="preserve">삼성대전 결승</t>
  </si>
  <si>
    <r>
      <rPr>
        <sz val="11"/>
        <rFont val="WenQuanYi Zen Hei"/>
        <family val="2"/>
      </rPr>
      <t xml:space="preserve">선풍검룡 위지천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백일연무</t>
    </r>
    <r>
      <rPr>
        <sz val="11"/>
        <rFont val="Arial"/>
        <family val="0"/>
        <charset val="1"/>
      </rPr>
      <t xml:space="preserve">)</t>
    </r>
  </si>
  <si>
    <t xml:space="preserve">무당산 고립</t>
  </si>
  <si>
    <t xml:space="preserve">천살 초혼검</t>
  </si>
  <si>
    <t xml:space="preserve">철각비마대</t>
  </si>
  <si>
    <t xml:space="preserve">질풍묵흔 구천학</t>
  </si>
  <si>
    <t xml:space="preserve">저잣거리 습격</t>
  </si>
  <si>
    <t xml:space="preserve">백인회주 관살 백탄저</t>
  </si>
  <si>
    <t xml:space="preserve">마하령의 분노</t>
  </si>
  <si>
    <t xml:space="preserve">철옥잠 마하령</t>
  </si>
  <si>
    <t xml:space="preserve">태극의 인재</t>
  </si>
  <si>
    <t xml:space="preserve">빙검 관철수</t>
  </si>
  <si>
    <t xml:space="preserve">환마동 시험</t>
  </si>
  <si>
    <t xml:space="preserve">환영 속 사부</t>
  </si>
  <si>
    <r>
      <rPr>
        <sz val="11"/>
        <rFont val="WenQuanYi Zen Hei"/>
        <family val="2"/>
      </rPr>
      <t xml:space="preserve">매몰 </t>
    </r>
    <r>
      <rPr>
        <sz val="11"/>
        <rFont val="Arial"/>
        <family val="0"/>
        <charset val="1"/>
      </rPr>
      <t xml:space="preserve">44</t>
    </r>
    <r>
      <rPr>
        <sz val="11"/>
        <rFont val="WenQuanYi Zen Hei"/>
        <family val="2"/>
      </rPr>
      <t xml:space="preserve">일</t>
    </r>
  </si>
  <si>
    <t xml:space="preserve">묵린혈망</t>
  </si>
  <si>
    <t xml:space="preserve">흑랑채 청혼</t>
  </si>
  <si>
    <t xml:space="preserve">흑랑부 임개</t>
  </si>
  <si>
    <t xml:space="preserve">낙뢰곡 철쇄봉혼진</t>
  </si>
  <si>
    <r>
      <rPr>
        <sz val="11"/>
        <rFont val="Arial"/>
        <family val="0"/>
        <charset val="1"/>
      </rPr>
      <t xml:space="preserve">10</t>
    </r>
    <r>
      <rPr>
        <sz val="11"/>
        <rFont val="WenQuanYi Zen Hei"/>
        <family val="2"/>
      </rPr>
      <t xml:space="preserve">대 조장 혈쇄</t>
    </r>
  </si>
  <si>
    <t xml:space="preserve">비사진</t>
  </si>
  <si>
    <t xml:space="preserve">비사마군 모사령</t>
  </si>
  <si>
    <t xml:space="preserve">비뢰쌍마</t>
  </si>
  <si>
    <t xml:space="preserve">잔뢰마도 공패</t>
  </si>
  <si>
    <t xml:space="preserve">화평장</t>
  </si>
  <si>
    <t xml:space="preserve">하얀 손의 고수</t>
  </si>
  <si>
    <t xml:space="preserve">살귀대</t>
  </si>
  <si>
    <t xml:space="preserve">화평장주 호유광</t>
  </si>
  <si>
    <t xml:space="preserve">마천칠걸</t>
  </si>
  <si>
    <t xml:space="preserve">마검익 추명</t>
  </si>
  <si>
    <t xml:space="preserve">멸성대</t>
  </si>
  <si>
    <t xml:space="preserve">천참마검 사마흔</t>
  </si>
  <si>
    <t xml:space="preserve">중토관</t>
  </si>
  <si>
    <t xml:space="preserve">잔무일점혈 무정</t>
  </si>
  <si>
    <t xml:space="preserve">화룡멸겁대진</t>
  </si>
  <si>
    <t xml:space="preserve">대공자 비</t>
  </si>
  <si>
    <r>
      <rPr>
        <i val="true"/>
        <sz val="11"/>
        <color rgb="FF555555"/>
        <rFont val="WenQuanYi Zen Hei"/>
        <family val="2"/>
      </rPr>
      <t xml:space="preserve">비류연 타수</t>
    </r>
    <r>
      <rPr>
        <i val="true"/>
        <sz val="11"/>
        <color rgb="FF555555"/>
        <rFont val="Arial"/>
        <family val="0"/>
        <charset val="1"/>
      </rPr>
      <t xml:space="preserve">·</t>
    </r>
    <r>
      <rPr>
        <i val="true"/>
        <sz val="11"/>
        <color rgb="FF555555"/>
        <rFont val="WenQuanYi Zen Hei"/>
        <family val="2"/>
      </rPr>
      <t xml:space="preserve">큰 기술 </t>
    </r>
    <r>
      <rPr>
        <i val="true"/>
        <sz val="11"/>
        <color rgb="FF555555"/>
        <rFont val="Arial"/>
        <family val="0"/>
        <charset val="1"/>
      </rPr>
      <t xml:space="preserve">%</t>
    </r>
    <r>
      <rPr>
        <i val="true"/>
        <sz val="11"/>
        <color rgb="FF555555"/>
        <rFont val="WenQuanYi Zen Hei"/>
        <family val="2"/>
      </rPr>
      <t xml:space="preserve">는 장비 없는 비류연 기준의 참고 값입니다</t>
    </r>
    <r>
      <rPr>
        <i val="true"/>
        <sz val="11"/>
        <color rgb="FF555555"/>
        <rFont val="Arial"/>
        <family val="0"/>
        <charset val="1"/>
      </rPr>
      <t xml:space="preserve">. 30</t>
    </r>
    <r>
      <rPr>
        <i val="true"/>
        <sz val="11"/>
        <color rgb="FF555555"/>
        <rFont val="WenQuanYi Zen Hei"/>
        <family val="2"/>
      </rPr>
      <t xml:space="preserve">행 아래 합계 없음</t>
    </r>
    <r>
      <rPr>
        <i val="true"/>
        <sz val="11"/>
        <color rgb="FF555555"/>
        <rFont val="Arial"/>
        <family val="0"/>
        <charset val="1"/>
      </rPr>
      <t xml:space="preserve">. </t>
    </r>
    <r>
      <rPr>
        <i val="true"/>
        <sz val="11"/>
        <color rgb="FF555555"/>
        <rFont val="WenQuanYi Zen Hei"/>
        <family val="2"/>
      </rPr>
      <t xml:space="preserve">값 출처</t>
    </r>
    <r>
      <rPr>
        <i val="true"/>
        <sz val="11"/>
        <color rgb="FF555555"/>
        <rFont val="Arial"/>
        <family val="0"/>
        <charset val="1"/>
      </rPr>
      <t xml:space="preserve">: </t>
    </r>
    <r>
      <rPr>
        <i val="true"/>
        <sz val="11"/>
        <color rgb="FF555555"/>
        <rFont val="WenQuanYi Zen Hei"/>
        <family val="2"/>
      </rPr>
      <t xml:space="preserve">게임 코드</t>
    </r>
    <r>
      <rPr>
        <i val="true"/>
        <sz val="11"/>
        <color rgb="FF555555"/>
        <rFont val="Arial"/>
        <family val="0"/>
        <charset val="1"/>
      </rPr>
      <t xml:space="preserve">(</t>
    </r>
    <r>
      <rPr>
        <i val="true"/>
        <sz val="11"/>
        <color rgb="FF555555"/>
        <rFont val="WenQuanYi Zen Hei"/>
        <family val="2"/>
      </rPr>
      <t xml:space="preserve">스테이지 적 데이터 </t>
    </r>
    <r>
      <rPr>
        <i val="true"/>
        <sz val="11"/>
        <color rgb="FF555555"/>
        <rFont val="Arial"/>
        <family val="0"/>
        <charset val="1"/>
      </rPr>
      <t xml:space="preserve">+ </t>
    </r>
    <r>
      <rPr>
        <i val="true"/>
        <sz val="11"/>
        <color rgb="FF555555"/>
        <rFont val="WenQuanYi Zen Hei"/>
        <family val="2"/>
      </rPr>
      <t xml:space="preserve">난이도 배율</t>
    </r>
    <r>
      <rPr>
        <i val="true"/>
        <sz val="11"/>
        <color rgb="FF555555"/>
        <rFont val="Arial"/>
        <family val="0"/>
        <charset val="1"/>
      </rPr>
      <t xml:space="preserve">).</t>
    </r>
  </si>
  <si>
    <r>
      <rPr>
        <b val="true"/>
        <sz val="13"/>
        <rFont val="WenQuanYi Zen Hei"/>
        <family val="2"/>
      </rPr>
      <t xml:space="preserve">스테이지별 총 체력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WenQuanYi Zen Hei"/>
        <family val="2"/>
      </rPr>
      <t xml:space="preserve">추천 경지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WenQuanYi Zen Hei"/>
        <family val="2"/>
      </rPr>
      <t xml:space="preserve">보상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WenQuanYi Zen Hei"/>
        <family val="2"/>
      </rPr>
      <t xml:space="preserve">신속 한도</t>
    </r>
  </si>
  <si>
    <t xml:space="preserve">이름</t>
  </si>
  <si>
    <t xml:space="preserve">추천 레벨</t>
  </si>
  <si>
    <t xml:space="preserve">전투 수</t>
  </si>
  <si>
    <t xml:space="preserve">적 수</t>
  </si>
  <si>
    <t xml:space="preserve">적 총 체력</t>
  </si>
  <si>
    <t xml:space="preserve">추천 종합 수치</t>
  </si>
  <si>
    <t xml:space="preserve">추천 경지</t>
  </si>
  <si>
    <t xml:space="preserve">경험치</t>
  </si>
  <si>
    <t xml:space="preserve">두</t>
  </si>
  <si>
    <t xml:space="preserve">신속 한도 합</t>
  </si>
  <si>
    <t xml:space="preserve">총 체력 어려움</t>
  </si>
  <si>
    <t xml:space="preserve">총 체력 극악</t>
  </si>
  <si>
    <t xml:space="preserve">경험치 어려움</t>
  </si>
  <si>
    <t xml:space="preserve">경험치 극악</t>
  </si>
  <si>
    <t xml:space="preserve">삼급</t>
  </si>
  <si>
    <t xml:space="preserve">일급</t>
  </si>
  <si>
    <t xml:space="preserve">절정 초입</t>
  </si>
  <si>
    <t xml:space="preserve">이급</t>
  </si>
  <si>
    <t xml:space="preserve">초일급</t>
  </si>
  <si>
    <t xml:space="preserve">절정 완숙</t>
  </si>
  <si>
    <t xml:space="preserve">절정 극</t>
  </si>
  <si>
    <t xml:space="preserve">초절정 초입</t>
  </si>
  <si>
    <r>
      <rPr>
        <i val="true"/>
        <sz val="11"/>
        <color rgb="FF555555"/>
        <rFont val="WenQuanYi Zen Hei"/>
        <family val="2"/>
      </rPr>
      <t xml:space="preserve">추천 종합 수치는 상태창과 같은 경지 보너스 전 수치입니다</t>
    </r>
    <r>
      <rPr>
        <i val="true"/>
        <sz val="11"/>
        <color rgb="FF555555"/>
        <rFont val="Arial"/>
        <family val="0"/>
        <charset val="1"/>
      </rPr>
      <t xml:space="preserve">. </t>
    </r>
    <r>
      <rPr>
        <i val="true"/>
        <sz val="11"/>
        <color rgb="FF555555"/>
        <rFont val="WenQuanYi Zen Hei"/>
        <family val="2"/>
      </rPr>
      <t xml:space="preserve">추천 경지와 신속 한도 합은 해당 난이도 기준이며</t>
    </r>
    <r>
      <rPr>
        <i val="true"/>
        <sz val="11"/>
        <color rgb="FF555555"/>
        <rFont val="Arial"/>
        <family val="0"/>
        <charset val="1"/>
      </rPr>
      <t xml:space="preserve">, </t>
    </r>
    <r>
      <rPr>
        <i val="true"/>
        <sz val="11"/>
        <color rgb="FF555555"/>
        <rFont val="WenQuanYi Zen Hei"/>
        <family val="2"/>
      </rPr>
      <t xml:space="preserve">보상은 처음 돌파할 때의 값입니다</t>
    </r>
    <r>
      <rPr>
        <i val="true"/>
        <sz val="11"/>
        <color rgb="FF555555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</si>
  <si>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스테이지별 적 배율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일반 상향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WenQuanYi Zen Hei"/>
        <family val="2"/>
      </rPr>
      <t xml:space="preserve">난이도 곡선</t>
    </r>
    <r>
      <rPr>
        <b val="true"/>
        <sz val="13"/>
        <rFont val="Arial"/>
        <family val="0"/>
        <charset val="1"/>
      </rPr>
      <t xml:space="preserve">)</t>
    </r>
  </si>
  <si>
    <t xml:space="preserve">일반 체력 상향</t>
  </si>
  <si>
    <t xml:space="preserve">일반 공격 상향</t>
  </si>
  <si>
    <r>
      <rPr>
        <b val="true"/>
        <sz val="11"/>
        <color rgb="FFFFFFFF"/>
        <rFont val="WenQuanYi Zen Hei"/>
        <family val="2"/>
      </rPr>
      <t xml:space="preserve">일반 조정</t>
    </r>
    <r>
      <rPr>
        <b val="true"/>
        <sz val="11"/>
        <color rgb="FFFFFFFF"/>
        <rFont val="Arial"/>
        <family val="0"/>
        <charset val="1"/>
      </rPr>
      <t xml:space="preserve">(Ease)</t>
    </r>
  </si>
  <si>
    <t xml:space="preserve">어려움 체력 곡선</t>
  </si>
  <si>
    <t xml:space="preserve">어려움 공격 곡선</t>
  </si>
  <si>
    <t xml:space="preserve">어려움 방어 곡선</t>
  </si>
  <si>
    <t xml:space="preserve">극악 체력 곡선</t>
  </si>
  <si>
    <t xml:space="preserve">극악 공격 곡선</t>
  </si>
  <si>
    <t xml:space="preserve">극악 방어 곡선</t>
  </si>
  <si>
    <t xml:space="preserve">어려움 레벨 가산</t>
  </si>
  <si>
    <t xml:space="preserve">극악 레벨 가산</t>
  </si>
  <si>
    <r>
      <rPr>
        <b val="true"/>
        <sz val="11"/>
        <color rgb="FFFFFFFF"/>
        <rFont val="WenQuanYi Zen Hei"/>
        <family val="2"/>
      </rPr>
      <t xml:space="preserve">어려움 최종 체력 </t>
    </r>
    <r>
      <rPr>
        <b val="true"/>
        <sz val="11"/>
        <color rgb="FFFFFFFF"/>
        <rFont val="Arial"/>
        <family val="0"/>
        <charset val="1"/>
      </rPr>
      <t xml:space="preserve">x</t>
    </r>
  </si>
  <si>
    <r>
      <rPr>
        <b val="true"/>
        <sz val="11"/>
        <color rgb="FFFFFFFF"/>
        <rFont val="WenQuanYi Zen Hei"/>
        <family val="2"/>
      </rPr>
      <t xml:space="preserve">극악 최종 체력 </t>
    </r>
    <r>
      <rPr>
        <b val="true"/>
        <sz val="11"/>
        <color rgb="FFFFFFFF"/>
        <rFont val="Arial"/>
        <family val="0"/>
        <charset val="1"/>
      </rPr>
      <t xml:space="preserve">x</t>
    </r>
  </si>
  <si>
    <r>
      <rPr>
        <b val="true"/>
        <sz val="11"/>
        <color rgb="FFFFFFFF"/>
        <rFont val="WenQuanYi Zen Hei"/>
        <family val="2"/>
      </rPr>
      <t xml:space="preserve">어려움 최종 공격 </t>
    </r>
    <r>
      <rPr>
        <b val="true"/>
        <sz val="11"/>
        <color rgb="FFFFFFFF"/>
        <rFont val="Arial"/>
        <family val="0"/>
        <charset val="1"/>
      </rPr>
      <t xml:space="preserve">x</t>
    </r>
  </si>
  <si>
    <r>
      <rPr>
        <b val="true"/>
        <sz val="11"/>
        <color rgb="FFFFFFFF"/>
        <rFont val="WenQuanYi Zen Hei"/>
        <family val="2"/>
      </rPr>
      <t xml:space="preserve">극악 최종 공격 </t>
    </r>
    <r>
      <rPr>
        <b val="true"/>
        <sz val="11"/>
        <color rgb="FFFFFFFF"/>
        <rFont val="Arial"/>
        <family val="0"/>
        <charset val="1"/>
      </rPr>
      <t xml:space="preserve">x</t>
    </r>
  </si>
  <si>
    <r>
      <rPr>
        <i val="true"/>
        <sz val="11"/>
        <color rgb="FF555555"/>
        <rFont val="WenQuanYi Zen Hei"/>
        <family val="2"/>
      </rPr>
      <t xml:space="preserve">색</t>
    </r>
    <r>
      <rPr>
        <i val="true"/>
        <sz val="11"/>
        <color rgb="FF555555"/>
        <rFont val="Arial"/>
        <family val="0"/>
        <charset val="1"/>
      </rPr>
      <t xml:space="preserve">: </t>
    </r>
    <r>
      <rPr>
        <i val="true"/>
        <sz val="11"/>
        <color rgb="FF555555"/>
        <rFont val="WenQuanYi Zen Hei"/>
        <family val="2"/>
      </rPr>
      <t xml:space="preserve">파란 글씨는 코드의 규칙 값</t>
    </r>
    <r>
      <rPr>
        <i val="true"/>
        <sz val="11"/>
        <color rgb="FF555555"/>
        <rFont val="Arial"/>
        <family val="0"/>
        <charset val="1"/>
      </rPr>
      <t xml:space="preserve">(StageStars </t>
    </r>
    <r>
      <rPr>
        <i val="true"/>
        <sz val="11"/>
        <color rgb="FF555555"/>
        <rFont val="WenQuanYi Zen Hei"/>
        <family val="2"/>
      </rPr>
      <t xml:space="preserve">표</t>
    </r>
    <r>
      <rPr>
        <i val="true"/>
        <sz val="11"/>
        <color rgb="FF555555"/>
        <rFont val="Arial"/>
        <family val="0"/>
        <charset val="1"/>
      </rPr>
      <t xml:space="preserve">), </t>
    </r>
    <r>
      <rPr>
        <i val="true"/>
        <sz val="11"/>
        <color rgb="FF555555"/>
        <rFont val="WenQuanYi Zen Hei"/>
        <family val="2"/>
      </rPr>
      <t xml:space="preserve">검은 글씨는 계산식입니다</t>
    </r>
    <r>
      <rPr>
        <i val="true"/>
        <sz val="11"/>
        <color rgb="FF555555"/>
        <rFont val="Arial"/>
        <family val="0"/>
        <charset val="1"/>
      </rPr>
      <t xml:space="preserve">. </t>
    </r>
    <r>
      <rPr>
        <i val="true"/>
        <sz val="11"/>
        <color rgb="FF555555"/>
        <rFont val="WenQuanYi Zen Hei"/>
        <family val="2"/>
      </rPr>
      <t xml:space="preserve">최종 배율 </t>
    </r>
    <r>
      <rPr>
        <i val="true"/>
        <sz val="11"/>
        <color rgb="FF555555"/>
        <rFont val="Arial"/>
        <family val="0"/>
        <charset val="1"/>
      </rPr>
      <t xml:space="preserve">= </t>
    </r>
    <r>
      <rPr>
        <i val="true"/>
        <sz val="11"/>
        <color rgb="FF555555"/>
        <rFont val="WenQuanYi Zen Hei"/>
        <family val="2"/>
      </rPr>
      <t xml:space="preserve">곡선 </t>
    </r>
    <r>
      <rPr>
        <i val="true"/>
        <sz val="11"/>
        <color rgb="FF555555"/>
        <rFont val="Arial"/>
        <family val="0"/>
        <charset val="1"/>
      </rPr>
      <t xml:space="preserve">÷ Ease^0.7(</t>
    </r>
    <r>
      <rPr>
        <i val="true"/>
        <sz val="11"/>
        <color rgb="FF555555"/>
        <rFont val="WenQuanYi Zen Hei"/>
        <family val="2"/>
      </rPr>
      <t xml:space="preserve">공격은 </t>
    </r>
    <r>
      <rPr>
        <i val="true"/>
        <sz val="11"/>
        <color rgb="FF555555"/>
        <rFont val="Arial"/>
        <family val="0"/>
        <charset val="1"/>
      </rPr>
      <t xml:space="preserve">^0.3) × </t>
    </r>
    <r>
      <rPr>
        <i val="true"/>
        <sz val="11"/>
        <color rgb="FF555555"/>
        <rFont val="WenQuanYi Zen Hei"/>
        <family val="2"/>
      </rPr>
      <t xml:space="preserve">일반 상향</t>
    </r>
    <r>
      <rPr>
        <i val="true"/>
        <sz val="11"/>
        <color rgb="FF555555"/>
        <rFont val="Arial"/>
        <family val="0"/>
        <charset val="1"/>
      </rPr>
      <t xml:space="preserve">. </t>
    </r>
    <r>
      <rPr>
        <i val="true"/>
        <sz val="11"/>
        <color rgb="FF555555"/>
        <rFont val="WenQuanYi Zen Hei"/>
        <family val="2"/>
      </rPr>
      <t xml:space="preserve">일반의 최종 배율은 일반 상향 열과 같고</t>
    </r>
    <r>
      <rPr>
        <i val="true"/>
        <sz val="11"/>
        <color rgb="FF555555"/>
        <rFont val="Arial"/>
        <family val="0"/>
        <charset val="1"/>
      </rPr>
      <t xml:space="preserve">(24~30</t>
    </r>
    <r>
      <rPr>
        <i val="true"/>
        <sz val="11"/>
        <color rgb="FF555555"/>
        <rFont val="WenQuanYi Zen Hei"/>
        <family val="2"/>
      </rPr>
      <t xml:space="preserve">스테이지는 체력 </t>
    </r>
    <r>
      <rPr>
        <i val="true"/>
        <sz val="11"/>
        <color rgb="FF555555"/>
        <rFont val="Arial"/>
        <family val="0"/>
        <charset val="1"/>
      </rPr>
      <t xml:space="preserve">x0.85·</t>
    </r>
    <r>
      <rPr>
        <i val="true"/>
        <sz val="11"/>
        <color rgb="FF555555"/>
        <rFont val="WenQuanYi Zen Hei"/>
        <family val="2"/>
      </rPr>
      <t xml:space="preserve">공격 </t>
    </r>
    <r>
      <rPr>
        <i val="true"/>
        <sz val="11"/>
        <color rgb="FF555555"/>
        <rFont val="Arial"/>
        <family val="0"/>
        <charset val="1"/>
      </rPr>
      <t xml:space="preserve">x1.25 </t>
    </r>
    <r>
      <rPr>
        <i val="true"/>
        <sz val="11"/>
        <color rgb="FF555555"/>
        <rFont val="WenQuanYi Zen Hei"/>
        <family val="2"/>
      </rPr>
      <t xml:space="preserve">추가</t>
    </r>
    <r>
      <rPr>
        <i val="true"/>
        <sz val="11"/>
        <color rgb="FF555555"/>
        <rFont val="Arial"/>
        <family val="0"/>
        <charset val="1"/>
      </rPr>
      <t xml:space="preserve">) </t>
    </r>
    <r>
      <rPr>
        <i val="true"/>
        <sz val="11"/>
        <color rgb="FF555555"/>
        <rFont val="WenQuanYi Zen Hei"/>
        <family val="2"/>
      </rPr>
      <t xml:space="preserve">원래 적 표 기준입니다</t>
    </r>
    <r>
      <rPr>
        <i val="true"/>
        <sz val="11"/>
        <color rgb="FF555555"/>
        <rFont val="Arial"/>
        <family val="0"/>
        <charset val="1"/>
      </rPr>
      <t xml:space="preserve">.</t>
    </r>
  </si>
  <si>
    <r>
      <rPr>
        <b val="true"/>
        <sz val="14"/>
        <rFont val="WenQuanYi Zen Hei"/>
        <family val="2"/>
      </rPr>
      <t xml:space="preserve">난이도별 그래프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스테이지 </t>
    </r>
    <r>
      <rPr>
        <b val="true"/>
        <sz val="14"/>
        <rFont val="Arial"/>
        <family val="0"/>
        <charset val="1"/>
      </rPr>
      <t xml:space="preserve">1~30)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</si>
</sst>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0"/>
    <numFmt numFmtId="166" formatCode="0.00\x"/>
    <numFmt numFmtId="167" formatCode="0.0"/>
    <numFmt numFmtId="168" formatCode="0"/>
    <numFmt numFmtId="169" formatCode="#,##0"/>
    <numFmt numFmtId="170" formatCode="0.0\x"/>
    <numFmt numFmtId="171" formatCode="#,##0.0"/>
    <numFmt numFmtId="172" formatCode="@"/>
    <numFmt numFmtId="173" formatCode="0.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11"/>
      <color rgb="FF555555"/>
      <name val="WenQuanYi Zen Hei"/>
      <family val="2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WenQuanYi Zen Hei"/>
      <family val="2"/>
    </font>
    <font>
      <b val="true"/>
      <sz val="12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WenQuanYi Zen Hei"/>
      <family val="2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1"/>
      <color rgb="FF000000"/>
      <name val="WenQuanYi Zen Hei"/>
      <family val="2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38761D"/>
        <bgColor rgb="FF008000"/>
      </patternFill>
    </fill>
    <fill>
      <patternFill patternType="solid">
        <fgColor rgb="FFB45F06"/>
        <bgColor rgb="FF808000"/>
      </patternFill>
    </fill>
    <fill>
      <patternFill patternType="solid">
        <fgColor rgb="FF990000"/>
        <bgColor rgb="FF800000"/>
      </patternFill>
    </fill>
    <fill>
      <patternFill patternType="solid">
        <fgColor rgb="FFD9EAD3"/>
        <bgColor rgb="FFDCE6F1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DCE6F1"/>
        <bgColor rgb="FFD9EA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E69138"/>
      <rgbColor rgb="FFFF6600"/>
      <rgbColor rgb="FF555555"/>
      <rgbColor rgb="FF969696"/>
      <rgbColor rgb="FF1F3A5F"/>
      <rgbColor rgb="FF38761D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보스 체력 (로그 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수치'!$E$4:$E$33</c:f>
              <c:numCache>
                <c:formatCode>#,##0</c:formatCode>
                <c:ptCount val="30"/>
                <c:pt idx="0">
                  <c:v>210</c:v>
                </c:pt>
                <c:pt idx="1">
                  <c:v>370</c:v>
                </c:pt>
                <c:pt idx="2">
                  <c:v>390</c:v>
                </c:pt>
                <c:pt idx="3">
                  <c:v>775</c:v>
                </c:pt>
                <c:pt idx="4">
                  <c:v>1307</c:v>
                </c:pt>
                <c:pt idx="5">
                  <c:v>922</c:v>
                </c:pt>
                <c:pt idx="6">
                  <c:v>2289</c:v>
                </c:pt>
                <c:pt idx="7">
                  <c:v>2390</c:v>
                </c:pt>
                <c:pt idx="8">
                  <c:v>3941</c:v>
                </c:pt>
                <c:pt idx="9">
                  <c:v>4420</c:v>
                </c:pt>
                <c:pt idx="10">
                  <c:v>3605</c:v>
                </c:pt>
                <c:pt idx="11">
                  <c:v>4843</c:v>
                </c:pt>
                <c:pt idx="12">
                  <c:v>7968</c:v>
                </c:pt>
                <c:pt idx="13">
                  <c:v>5648</c:v>
                </c:pt>
                <c:pt idx="14">
                  <c:v>4052</c:v>
                </c:pt>
                <c:pt idx="15">
                  <c:v>5788</c:v>
                </c:pt>
                <c:pt idx="16">
                  <c:v>7387</c:v>
                </c:pt>
                <c:pt idx="17">
                  <c:v>10626</c:v>
                </c:pt>
                <c:pt idx="18">
                  <c:v>10931</c:v>
                </c:pt>
                <c:pt idx="19">
                  <c:v>12728</c:v>
                </c:pt>
                <c:pt idx="20">
                  <c:v>11249</c:v>
                </c:pt>
                <c:pt idx="21">
                  <c:v>12364</c:v>
                </c:pt>
                <c:pt idx="22">
                  <c:v>13161</c:v>
                </c:pt>
                <c:pt idx="23">
                  <c:v>17159</c:v>
                </c:pt>
                <c:pt idx="24">
                  <c:v>14468</c:v>
                </c:pt>
                <c:pt idx="25">
                  <c:v>14758</c:v>
                </c:pt>
                <c:pt idx="26">
                  <c:v>17110</c:v>
                </c:pt>
                <c:pt idx="27">
                  <c:v>17136</c:v>
                </c:pt>
                <c:pt idx="28">
                  <c:v>21420</c:v>
                </c:pt>
                <c:pt idx="29">
                  <c:v>23511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수치'!$M$4:$M$33</c:f>
              <c:numCache>
                <c:formatCode>#,##0</c:formatCode>
                <c:ptCount val="30"/>
                <c:pt idx="0">
                  <c:v>1530</c:v>
                </c:pt>
                <c:pt idx="1">
                  <c:v>1846</c:v>
                </c:pt>
                <c:pt idx="2">
                  <c:v>1496</c:v>
                </c:pt>
                <c:pt idx="3">
                  <c:v>2029</c:v>
                </c:pt>
                <c:pt idx="4">
                  <c:v>2411</c:v>
                </c:pt>
                <c:pt idx="5">
                  <c:v>1527</c:v>
                </c:pt>
                <c:pt idx="6">
                  <c:v>10258</c:v>
                </c:pt>
                <c:pt idx="7">
                  <c:v>10311</c:v>
                </c:pt>
                <c:pt idx="8">
                  <c:v>16235</c:v>
                </c:pt>
                <c:pt idx="9">
                  <c:v>17922</c:v>
                </c:pt>
                <c:pt idx="10">
                  <c:v>14245</c:v>
                </c:pt>
                <c:pt idx="11">
                  <c:v>17692</c:v>
                </c:pt>
                <c:pt idx="12">
                  <c:v>28529</c:v>
                </c:pt>
                <c:pt idx="13">
                  <c:v>21013</c:v>
                </c:pt>
                <c:pt idx="14">
                  <c:v>14839</c:v>
                </c:pt>
                <c:pt idx="15">
                  <c:v>21526</c:v>
                </c:pt>
                <c:pt idx="16">
                  <c:v>26955</c:v>
                </c:pt>
                <c:pt idx="17">
                  <c:v>36228</c:v>
                </c:pt>
                <c:pt idx="18">
                  <c:v>38868</c:v>
                </c:pt>
                <c:pt idx="19">
                  <c:v>44865</c:v>
                </c:pt>
                <c:pt idx="20">
                  <c:v>39350</c:v>
                </c:pt>
                <c:pt idx="21">
                  <c:v>42961</c:v>
                </c:pt>
                <c:pt idx="22">
                  <c:v>45465</c:v>
                </c:pt>
                <c:pt idx="23">
                  <c:v>69385</c:v>
                </c:pt>
                <c:pt idx="24">
                  <c:v>58253</c:v>
                </c:pt>
                <c:pt idx="25">
                  <c:v>60157</c:v>
                </c:pt>
                <c:pt idx="26">
                  <c:v>69450</c:v>
                </c:pt>
                <c:pt idx="27">
                  <c:v>69368</c:v>
                </c:pt>
                <c:pt idx="28">
                  <c:v>86516</c:v>
                </c:pt>
                <c:pt idx="29">
                  <c:v>89635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수치'!$U$4:$U$33</c:f>
              <c:numCache>
                <c:formatCode>#,##0</c:formatCode>
                <c:ptCount val="30"/>
                <c:pt idx="0">
                  <c:v>3259</c:v>
                </c:pt>
                <c:pt idx="1">
                  <c:v>3829</c:v>
                </c:pt>
                <c:pt idx="2">
                  <c:v>3026</c:v>
                </c:pt>
                <c:pt idx="3">
                  <c:v>4004</c:v>
                </c:pt>
                <c:pt idx="4">
                  <c:v>4174</c:v>
                </c:pt>
                <c:pt idx="5">
                  <c:v>2524</c:v>
                </c:pt>
                <c:pt idx="6">
                  <c:v>24593</c:v>
                </c:pt>
                <c:pt idx="7">
                  <c:v>24418</c:v>
                </c:pt>
                <c:pt idx="8">
                  <c:v>38283</c:v>
                </c:pt>
                <c:pt idx="9">
                  <c:v>42020</c:v>
                </c:pt>
                <c:pt idx="10">
                  <c:v>32996</c:v>
                </c:pt>
                <c:pt idx="11">
                  <c:v>40490</c:v>
                </c:pt>
                <c:pt idx="12">
                  <c:v>64518</c:v>
                </c:pt>
                <c:pt idx="13">
                  <c:v>46960</c:v>
                </c:pt>
                <c:pt idx="14">
                  <c:v>32774</c:v>
                </c:pt>
                <c:pt idx="15">
                  <c:v>46492</c:v>
                </c:pt>
                <c:pt idx="16">
                  <c:v>57330</c:v>
                </c:pt>
                <c:pt idx="17">
                  <c:v>76171</c:v>
                </c:pt>
                <c:pt idx="18">
                  <c:v>80575</c:v>
                </c:pt>
                <c:pt idx="19">
                  <c:v>91985</c:v>
                </c:pt>
                <c:pt idx="20">
                  <c:v>79799</c:v>
                </c:pt>
                <c:pt idx="21">
                  <c:v>86178</c:v>
                </c:pt>
                <c:pt idx="22">
                  <c:v>91511</c:v>
                </c:pt>
                <c:pt idx="23">
                  <c:v>138169</c:v>
                </c:pt>
                <c:pt idx="24">
                  <c:v>114775</c:v>
                </c:pt>
                <c:pt idx="25">
                  <c:v>115631</c:v>
                </c:pt>
                <c:pt idx="26">
                  <c:v>132021</c:v>
                </c:pt>
                <c:pt idx="27">
                  <c:v>130533</c:v>
                </c:pt>
                <c:pt idx="28">
                  <c:v>161169</c:v>
                </c:pt>
                <c:pt idx="29">
                  <c:v>165318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334932"/>
        <c:axId val="65262700"/>
      </c:lineChart>
      <c:catAx>
        <c:axId val="673349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62700"/>
        <c:crosses val="autoZero"/>
        <c:auto val="1"/>
        <c:lblAlgn val="ctr"/>
        <c:lblOffset val="100"/>
        <c:noMultiLvlLbl val="0"/>
      </c:catAx>
      <c:valAx>
        <c:axId val="6526270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체력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349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보스 공격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수치'!$F$4:$F$33</c:f>
              <c:numCache>
                <c:formatCode>#,##0</c:formatCode>
                <c:ptCount val="30"/>
                <c:pt idx="0">
                  <c:v>23</c:v>
                </c:pt>
                <c:pt idx="1">
                  <c:v>47</c:v>
                </c:pt>
                <c:pt idx="2">
                  <c:v>71</c:v>
                </c:pt>
                <c:pt idx="3">
                  <c:v>103</c:v>
                </c:pt>
                <c:pt idx="4">
                  <c:v>181</c:v>
                </c:pt>
                <c:pt idx="5">
                  <c:v>157</c:v>
                </c:pt>
                <c:pt idx="6">
                  <c:v>351</c:v>
                </c:pt>
                <c:pt idx="7">
                  <c:v>445</c:v>
                </c:pt>
                <c:pt idx="8">
                  <c:v>501</c:v>
                </c:pt>
                <c:pt idx="9">
                  <c:v>605</c:v>
                </c:pt>
                <c:pt idx="10">
                  <c:v>605</c:v>
                </c:pt>
                <c:pt idx="11">
                  <c:v>679</c:v>
                </c:pt>
                <c:pt idx="12">
                  <c:v>796</c:v>
                </c:pt>
                <c:pt idx="13">
                  <c:v>679</c:v>
                </c:pt>
                <c:pt idx="14">
                  <c:v>709</c:v>
                </c:pt>
                <c:pt idx="15">
                  <c:v>649</c:v>
                </c:pt>
                <c:pt idx="16">
                  <c:v>792</c:v>
                </c:pt>
                <c:pt idx="17">
                  <c:v>1040</c:v>
                </c:pt>
                <c:pt idx="18">
                  <c:v>831</c:v>
                </c:pt>
                <c:pt idx="19">
                  <c:v>851</c:v>
                </c:pt>
                <c:pt idx="20">
                  <c:v>899</c:v>
                </c:pt>
                <c:pt idx="21">
                  <c:v>878</c:v>
                </c:pt>
                <c:pt idx="22">
                  <c:v>922</c:v>
                </c:pt>
                <c:pt idx="23">
                  <c:v>1274</c:v>
                </c:pt>
                <c:pt idx="24">
                  <c:v>1128</c:v>
                </c:pt>
                <c:pt idx="25">
                  <c:v>1074</c:v>
                </c:pt>
                <c:pt idx="26">
                  <c:v>1402</c:v>
                </c:pt>
                <c:pt idx="27">
                  <c:v>1133</c:v>
                </c:pt>
                <c:pt idx="28">
                  <c:v>1128</c:v>
                </c:pt>
                <c:pt idx="29">
                  <c:v>1317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수치'!$N$4:$N$33</c:f>
              <c:numCache>
                <c:formatCode>#,##0</c:formatCode>
                <c:ptCount val="30"/>
                <c:pt idx="0">
                  <c:v>230</c:v>
                </c:pt>
                <c:pt idx="1">
                  <c:v>261</c:v>
                </c:pt>
                <c:pt idx="2">
                  <c:v>284</c:v>
                </c:pt>
                <c:pt idx="3">
                  <c:v>312</c:v>
                </c:pt>
                <c:pt idx="4">
                  <c:v>435</c:v>
                </c:pt>
                <c:pt idx="5">
                  <c:v>334</c:v>
                </c:pt>
                <c:pt idx="6">
                  <c:v>872</c:v>
                </c:pt>
                <c:pt idx="7">
                  <c:v>1048</c:v>
                </c:pt>
                <c:pt idx="8">
                  <c:v>1107</c:v>
                </c:pt>
                <c:pt idx="9">
                  <c:v>1299</c:v>
                </c:pt>
                <c:pt idx="10">
                  <c:v>1248</c:v>
                </c:pt>
                <c:pt idx="11">
                  <c:v>1334</c:v>
                </c:pt>
                <c:pt idx="12">
                  <c:v>1515</c:v>
                </c:pt>
                <c:pt idx="13">
                  <c:v>1272</c:v>
                </c:pt>
                <c:pt idx="14">
                  <c:v>1290</c:v>
                </c:pt>
                <c:pt idx="15">
                  <c:v>1188</c:v>
                </c:pt>
                <c:pt idx="16">
                  <c:v>1405</c:v>
                </c:pt>
                <c:pt idx="17">
                  <c:v>1784</c:v>
                </c:pt>
                <c:pt idx="18">
                  <c:v>1408</c:v>
                </c:pt>
                <c:pt idx="19">
                  <c:v>1416</c:v>
                </c:pt>
                <c:pt idx="20">
                  <c:v>1469</c:v>
                </c:pt>
                <c:pt idx="21">
                  <c:v>1413</c:v>
                </c:pt>
                <c:pt idx="22">
                  <c:v>1461</c:v>
                </c:pt>
                <c:pt idx="23">
                  <c:v>1779</c:v>
                </c:pt>
                <c:pt idx="24">
                  <c:v>1558</c:v>
                </c:pt>
                <c:pt idx="25">
                  <c:v>1488</c:v>
                </c:pt>
                <c:pt idx="26">
                  <c:v>1920</c:v>
                </c:pt>
                <c:pt idx="27">
                  <c:v>1534</c:v>
                </c:pt>
                <c:pt idx="28">
                  <c:v>1513</c:v>
                </c:pt>
                <c:pt idx="29">
                  <c:v>1727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수치'!$V$4:$V$33</c:f>
              <c:numCache>
                <c:formatCode>#,##0</c:formatCode>
                <c:ptCount val="30"/>
                <c:pt idx="0">
                  <c:v>447</c:v>
                </c:pt>
                <c:pt idx="1">
                  <c:v>493</c:v>
                </c:pt>
                <c:pt idx="2">
                  <c:v>522</c:v>
                </c:pt>
                <c:pt idx="3">
                  <c:v>560</c:v>
                </c:pt>
                <c:pt idx="4">
                  <c:v>734</c:v>
                </c:pt>
                <c:pt idx="5">
                  <c:v>535</c:v>
                </c:pt>
                <c:pt idx="6">
                  <c:v>1598</c:v>
                </c:pt>
                <c:pt idx="7">
                  <c:v>1887</c:v>
                </c:pt>
                <c:pt idx="8">
                  <c:v>1975</c:v>
                </c:pt>
                <c:pt idx="9">
                  <c:v>2294</c:v>
                </c:pt>
                <c:pt idx="10">
                  <c:v>2166</c:v>
                </c:pt>
                <c:pt idx="11">
                  <c:v>2279</c:v>
                </c:pt>
                <c:pt idx="12">
                  <c:v>2546</c:v>
                </c:pt>
                <c:pt idx="13">
                  <c:v>2104</c:v>
                </c:pt>
                <c:pt idx="14">
                  <c:v>2101</c:v>
                </c:pt>
                <c:pt idx="15">
                  <c:v>1887</c:v>
                </c:pt>
                <c:pt idx="16">
                  <c:v>2189</c:v>
                </c:pt>
                <c:pt idx="17">
                  <c:v>2736</c:v>
                </c:pt>
                <c:pt idx="18">
                  <c:v>2124</c:v>
                </c:pt>
                <c:pt idx="19">
                  <c:v>2105</c:v>
                </c:pt>
                <c:pt idx="20">
                  <c:v>2155</c:v>
                </c:pt>
                <c:pt idx="21">
                  <c:v>2045</c:v>
                </c:pt>
                <c:pt idx="22">
                  <c:v>2119</c:v>
                </c:pt>
                <c:pt idx="23">
                  <c:v>2547</c:v>
                </c:pt>
                <c:pt idx="24">
                  <c:v>2200</c:v>
                </c:pt>
                <c:pt idx="25">
                  <c:v>2045</c:v>
                </c:pt>
                <c:pt idx="26">
                  <c:v>2602</c:v>
                </c:pt>
                <c:pt idx="27">
                  <c:v>2057</c:v>
                </c:pt>
                <c:pt idx="28">
                  <c:v>2003</c:v>
                </c:pt>
                <c:pt idx="29">
                  <c:v>2260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814533"/>
        <c:axId val="97686627"/>
      </c:lineChart>
      <c:catAx>
        <c:axId val="10814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86627"/>
        <c:crosses val="autoZero"/>
        <c:auto val="1"/>
        <c:lblAlgn val="ctr"/>
        <c:lblOffset val="100"/>
        <c:noMultiLvlLbl val="0"/>
      </c:catAx>
      <c:valAx>
        <c:axId val="97686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공격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145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보스 종합 수치 (경지 기준)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수치'!$I$4:$I$33</c:f>
              <c:numCache>
                <c:formatCode>#,##0</c:formatCode>
                <c:ptCount val="30"/>
                <c:pt idx="0">
                  <c:v>31</c:v>
                </c:pt>
                <c:pt idx="1">
                  <c:v>49</c:v>
                </c:pt>
                <c:pt idx="2">
                  <c:v>62</c:v>
                </c:pt>
                <c:pt idx="3">
                  <c:v>89</c:v>
                </c:pt>
                <c:pt idx="4">
                  <c:v>134</c:v>
                </c:pt>
                <c:pt idx="5">
                  <c:v>115</c:v>
                </c:pt>
                <c:pt idx="6">
                  <c:v>217</c:v>
                </c:pt>
                <c:pt idx="7">
                  <c:v>248</c:v>
                </c:pt>
                <c:pt idx="8">
                  <c:v>298</c:v>
                </c:pt>
                <c:pt idx="9">
                  <c:v>338</c:v>
                </c:pt>
                <c:pt idx="10">
                  <c:v>322</c:v>
                </c:pt>
                <c:pt idx="11">
                  <c:v>368</c:v>
                </c:pt>
                <c:pt idx="12">
                  <c:v>452</c:v>
                </c:pt>
                <c:pt idx="13">
                  <c:v>384</c:v>
                </c:pt>
                <c:pt idx="14">
                  <c:v>362</c:v>
                </c:pt>
                <c:pt idx="15">
                  <c:v>379</c:v>
                </c:pt>
                <c:pt idx="16">
                  <c:v>445</c:v>
                </c:pt>
                <c:pt idx="17">
                  <c:v>560</c:v>
                </c:pt>
                <c:pt idx="18">
                  <c:v>510</c:v>
                </c:pt>
                <c:pt idx="19">
                  <c:v>533</c:v>
                </c:pt>
                <c:pt idx="20">
                  <c:v>533</c:v>
                </c:pt>
                <c:pt idx="21">
                  <c:v>540</c:v>
                </c:pt>
                <c:pt idx="22">
                  <c:v>563</c:v>
                </c:pt>
                <c:pt idx="23">
                  <c:v>709</c:v>
                </c:pt>
                <c:pt idx="24">
                  <c:v>646</c:v>
                </c:pt>
                <c:pt idx="25">
                  <c:v>628</c:v>
                </c:pt>
                <c:pt idx="26">
                  <c:v>748</c:v>
                </c:pt>
                <c:pt idx="27">
                  <c:v>674</c:v>
                </c:pt>
                <c:pt idx="28">
                  <c:v>720</c:v>
                </c:pt>
                <c:pt idx="29">
                  <c:v>809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수치'!$Q$4:$Q$33</c:f>
              <c:numCache>
                <c:formatCode>#,##0</c:formatCode>
                <c:ptCount val="30"/>
                <c:pt idx="0">
                  <c:v>164</c:v>
                </c:pt>
                <c:pt idx="1">
                  <c:v>180</c:v>
                </c:pt>
                <c:pt idx="2">
                  <c:v>178</c:v>
                </c:pt>
                <c:pt idx="3">
                  <c:v>202</c:v>
                </c:pt>
                <c:pt idx="4">
                  <c:v>249</c:v>
                </c:pt>
                <c:pt idx="5">
                  <c:v>195</c:v>
                </c:pt>
                <c:pt idx="6">
                  <c:v>509</c:v>
                </c:pt>
                <c:pt idx="7">
                  <c:v>559</c:v>
                </c:pt>
                <c:pt idx="8">
                  <c:v>645</c:v>
                </c:pt>
                <c:pt idx="9">
                  <c:v>716</c:v>
                </c:pt>
                <c:pt idx="10">
                  <c:v>663</c:v>
                </c:pt>
                <c:pt idx="11">
                  <c:v>725</c:v>
                </c:pt>
                <c:pt idx="12">
                  <c:v>871</c:v>
                </c:pt>
                <c:pt idx="13">
                  <c:v>741</c:v>
                </c:pt>
                <c:pt idx="14">
                  <c:v>684</c:v>
                </c:pt>
                <c:pt idx="15">
                  <c:v>720</c:v>
                </c:pt>
                <c:pt idx="16">
                  <c:v>830</c:v>
                </c:pt>
                <c:pt idx="17">
                  <c:v>1009</c:v>
                </c:pt>
                <c:pt idx="18">
                  <c:v>921</c:v>
                </c:pt>
                <c:pt idx="19">
                  <c:v>950</c:v>
                </c:pt>
                <c:pt idx="20">
                  <c:v>939</c:v>
                </c:pt>
                <c:pt idx="21">
                  <c:v>941</c:v>
                </c:pt>
                <c:pt idx="22">
                  <c:v>973</c:v>
                </c:pt>
                <c:pt idx="23">
                  <c:v>1193</c:v>
                </c:pt>
                <c:pt idx="24">
                  <c:v>1079</c:v>
                </c:pt>
                <c:pt idx="25">
                  <c:v>1054</c:v>
                </c:pt>
                <c:pt idx="26">
                  <c:v>1244</c:v>
                </c:pt>
                <c:pt idx="27">
                  <c:v>1114</c:v>
                </c:pt>
                <c:pt idx="28">
                  <c:v>1182</c:v>
                </c:pt>
                <c:pt idx="29">
                  <c:v>1295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수치'!$Y$4:$Y$33</c:f>
              <c:numCache>
                <c:formatCode>#,##0</c:formatCode>
                <c:ptCount val="30"/>
                <c:pt idx="0">
                  <c:v>284</c:v>
                </c:pt>
                <c:pt idx="1">
                  <c:v>305</c:v>
                </c:pt>
                <c:pt idx="2">
                  <c:v>296</c:v>
                </c:pt>
                <c:pt idx="3">
                  <c:v>329</c:v>
                </c:pt>
                <c:pt idx="4">
                  <c:v>381</c:v>
                </c:pt>
                <c:pt idx="5">
                  <c:v>287</c:v>
                </c:pt>
                <c:pt idx="6">
                  <c:v>877</c:v>
                </c:pt>
                <c:pt idx="7">
                  <c:v>951</c:v>
                </c:pt>
                <c:pt idx="8">
                  <c:v>1091</c:v>
                </c:pt>
                <c:pt idx="9">
                  <c:v>1202</c:v>
                </c:pt>
                <c:pt idx="10">
                  <c:v>1099</c:v>
                </c:pt>
                <c:pt idx="11">
                  <c:v>1187</c:v>
                </c:pt>
                <c:pt idx="12">
                  <c:v>1409</c:v>
                </c:pt>
                <c:pt idx="13">
                  <c:v>1183</c:v>
                </c:pt>
                <c:pt idx="14">
                  <c:v>1081</c:v>
                </c:pt>
                <c:pt idx="15">
                  <c:v>1116</c:v>
                </c:pt>
                <c:pt idx="16">
                  <c:v>1269</c:v>
                </c:pt>
                <c:pt idx="17">
                  <c:v>1523</c:v>
                </c:pt>
                <c:pt idx="18">
                  <c:v>1371</c:v>
                </c:pt>
                <c:pt idx="19">
                  <c:v>1400</c:v>
                </c:pt>
                <c:pt idx="20">
                  <c:v>1367</c:v>
                </c:pt>
                <c:pt idx="21">
                  <c:v>1358</c:v>
                </c:pt>
                <c:pt idx="22">
                  <c:v>1406</c:v>
                </c:pt>
                <c:pt idx="23">
                  <c:v>1708</c:v>
                </c:pt>
                <c:pt idx="24">
                  <c:v>1527</c:v>
                </c:pt>
                <c:pt idx="25">
                  <c:v>1461</c:v>
                </c:pt>
                <c:pt idx="26">
                  <c:v>1707</c:v>
                </c:pt>
                <c:pt idx="27">
                  <c:v>1513</c:v>
                </c:pt>
                <c:pt idx="28">
                  <c:v>1592</c:v>
                </c:pt>
                <c:pt idx="29">
                  <c:v>1725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967895"/>
        <c:axId val="12607265"/>
      </c:lineChart>
      <c:catAx>
        <c:axId val="599678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07265"/>
        <c:crosses val="autoZero"/>
        <c:auto val="1"/>
        <c:lblAlgn val="ctr"/>
        <c:lblOffset val="100"/>
        <c:noMultiLvlLbl val="0"/>
      </c:catAx>
      <c:valAx>
        <c:axId val="12607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종합 수치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678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비류연이 보스를 쓰러뜨리는 타수 (로그 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수치'!$J$4:$J$33</c:f>
              <c:numCache>
                <c:formatCode>0.0</c:formatCode>
                <c:ptCount val="30"/>
                <c:pt idx="0">
                  <c:v>10.5</c:v>
                </c:pt>
                <c:pt idx="1">
                  <c:v>7.6</c:v>
                </c:pt>
                <c:pt idx="2">
                  <c:v>6.4</c:v>
                </c:pt>
                <c:pt idx="3">
                  <c:v>10.8</c:v>
                </c:pt>
                <c:pt idx="4">
                  <c:v>16.1</c:v>
                </c:pt>
                <c:pt idx="5">
                  <c:v>10.2</c:v>
                </c:pt>
                <c:pt idx="6">
                  <c:v>21.2</c:v>
                </c:pt>
                <c:pt idx="7">
                  <c:v>20.4</c:v>
                </c:pt>
                <c:pt idx="8">
                  <c:v>32</c:v>
                </c:pt>
                <c:pt idx="9">
                  <c:v>33.5</c:v>
                </c:pt>
                <c:pt idx="10">
                  <c:v>25.8</c:v>
                </c:pt>
                <c:pt idx="11">
                  <c:v>32.9</c:v>
                </c:pt>
                <c:pt idx="12">
                  <c:v>48.9</c:v>
                </c:pt>
                <c:pt idx="13">
                  <c:v>35.5</c:v>
                </c:pt>
                <c:pt idx="14">
                  <c:v>24.6</c:v>
                </c:pt>
                <c:pt idx="15">
                  <c:v>31.5</c:v>
                </c:pt>
                <c:pt idx="16">
                  <c:v>39.3</c:v>
                </c:pt>
                <c:pt idx="17">
                  <c:v>57.8</c:v>
                </c:pt>
                <c:pt idx="18">
                  <c:v>55.8</c:v>
                </c:pt>
                <c:pt idx="19">
                  <c:v>63.6</c:v>
                </c:pt>
                <c:pt idx="20">
                  <c:v>54.9</c:v>
                </c:pt>
                <c:pt idx="21">
                  <c:v>59.2</c:v>
                </c:pt>
                <c:pt idx="22">
                  <c:v>61.8</c:v>
                </c:pt>
                <c:pt idx="23">
                  <c:v>79.1</c:v>
                </c:pt>
                <c:pt idx="24">
                  <c:v>63.2</c:v>
                </c:pt>
                <c:pt idx="25">
                  <c:v>65.3</c:v>
                </c:pt>
                <c:pt idx="26">
                  <c:v>75</c:v>
                </c:pt>
                <c:pt idx="27">
                  <c:v>71.7</c:v>
                </c:pt>
                <c:pt idx="28">
                  <c:v>88.5</c:v>
                </c:pt>
                <c:pt idx="29">
                  <c:v>107.4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수치'!$R$4:$R$33</c:f>
              <c:numCache>
                <c:formatCode>0.0</c:formatCode>
                <c:ptCount val="30"/>
                <c:pt idx="0">
                  <c:v>11.7</c:v>
                </c:pt>
                <c:pt idx="1">
                  <c:v>13.2</c:v>
                </c:pt>
                <c:pt idx="2">
                  <c:v>10.8</c:v>
                </c:pt>
                <c:pt idx="3">
                  <c:v>13.9</c:v>
                </c:pt>
                <c:pt idx="4">
                  <c:v>16.6</c:v>
                </c:pt>
                <c:pt idx="5">
                  <c:v>10.2</c:v>
                </c:pt>
                <c:pt idx="6">
                  <c:v>65.8</c:v>
                </c:pt>
                <c:pt idx="7">
                  <c:v>63.3</c:v>
                </c:pt>
                <c:pt idx="8">
                  <c:v>102.1</c:v>
                </c:pt>
                <c:pt idx="9">
                  <c:v>106.7</c:v>
                </c:pt>
                <c:pt idx="10">
                  <c:v>85.8</c:v>
                </c:pt>
                <c:pt idx="11">
                  <c:v>102.3</c:v>
                </c:pt>
                <c:pt idx="12">
                  <c:v>151.8</c:v>
                </c:pt>
                <c:pt idx="13">
                  <c:v>118.1</c:v>
                </c:pt>
                <c:pt idx="14">
                  <c:v>80.6</c:v>
                </c:pt>
                <c:pt idx="15">
                  <c:v>107.1</c:v>
                </c:pt>
                <c:pt idx="16">
                  <c:v>136.8</c:v>
                </c:pt>
                <c:pt idx="17">
                  <c:v>185.8</c:v>
                </c:pt>
                <c:pt idx="18">
                  <c:v>187.8</c:v>
                </c:pt>
                <c:pt idx="19">
                  <c:v>218.9</c:v>
                </c:pt>
                <c:pt idx="20">
                  <c:v>187.4</c:v>
                </c:pt>
                <c:pt idx="21">
                  <c:v>198.9</c:v>
                </c:pt>
                <c:pt idx="22">
                  <c:v>212.5</c:v>
                </c:pt>
                <c:pt idx="23">
                  <c:v>316.8</c:v>
                </c:pt>
                <c:pt idx="24">
                  <c:v>251.1</c:v>
                </c:pt>
                <c:pt idx="25">
                  <c:v>261.6</c:v>
                </c:pt>
                <c:pt idx="26">
                  <c:v>307.3</c:v>
                </c:pt>
                <c:pt idx="27">
                  <c:v>291.5</c:v>
                </c:pt>
                <c:pt idx="28">
                  <c:v>366.6</c:v>
                </c:pt>
                <c:pt idx="29">
                  <c:v>416.9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수치'!$Z$4:$Z$33</c:f>
              <c:numCache>
                <c:formatCode>0.0</c:formatCode>
                <c:ptCount val="30"/>
                <c:pt idx="0">
                  <c:v>18.4</c:v>
                </c:pt>
                <c:pt idx="1">
                  <c:v>20.8</c:v>
                </c:pt>
                <c:pt idx="2">
                  <c:v>16.4</c:v>
                </c:pt>
                <c:pt idx="3">
                  <c:v>21.8</c:v>
                </c:pt>
                <c:pt idx="4">
                  <c:v>22.6</c:v>
                </c:pt>
                <c:pt idx="5">
                  <c:v>13.6</c:v>
                </c:pt>
                <c:pt idx="6">
                  <c:v>136.6</c:v>
                </c:pt>
                <c:pt idx="7">
                  <c:v>130.6</c:v>
                </c:pt>
                <c:pt idx="8">
                  <c:v>209.2</c:v>
                </c:pt>
                <c:pt idx="9">
                  <c:v>220</c:v>
                </c:pt>
                <c:pt idx="10">
                  <c:v>172.8</c:v>
                </c:pt>
                <c:pt idx="11">
                  <c:v>212</c:v>
                </c:pt>
                <c:pt idx="12">
                  <c:v>325.8</c:v>
                </c:pt>
                <c:pt idx="13">
                  <c:v>237.2</c:v>
                </c:pt>
                <c:pt idx="14">
                  <c:v>165.5</c:v>
                </c:pt>
                <c:pt idx="15">
                  <c:v>223.5</c:v>
                </c:pt>
                <c:pt idx="16">
                  <c:v>278.3</c:v>
                </c:pt>
                <c:pt idx="17">
                  <c:v>369.8</c:v>
                </c:pt>
                <c:pt idx="18">
                  <c:v>381.9</c:v>
                </c:pt>
                <c:pt idx="19">
                  <c:v>435.9</c:v>
                </c:pt>
                <c:pt idx="20">
                  <c:v>378.2</c:v>
                </c:pt>
                <c:pt idx="21">
                  <c:v>397.1</c:v>
                </c:pt>
                <c:pt idx="22">
                  <c:v>425.6</c:v>
                </c:pt>
                <c:pt idx="23">
                  <c:v>642.6</c:v>
                </c:pt>
                <c:pt idx="24">
                  <c:v>503.4</c:v>
                </c:pt>
                <c:pt idx="25">
                  <c:v>518.5</c:v>
                </c:pt>
                <c:pt idx="26">
                  <c:v>597.4</c:v>
                </c:pt>
                <c:pt idx="27">
                  <c:v>555.5</c:v>
                </c:pt>
                <c:pt idx="28">
                  <c:v>688.8</c:v>
                </c:pt>
                <c:pt idx="29">
                  <c:v>791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7228534"/>
        <c:axId val="86089614"/>
      </c:lineChart>
      <c:catAx>
        <c:axId val="972285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089614"/>
        <c:crosses val="autoZero"/>
        <c:auto val="1"/>
        <c:lblAlgn val="ctr"/>
        <c:lblOffset val="100"/>
        <c:noMultiLvlLbl val="0"/>
      </c:catAx>
      <c:valAx>
        <c:axId val="8608961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타수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285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보스 큰 기술 (비류연 체력 대비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수치'!$K$4:$K$33</c:f>
              <c:numCache>
                <c:formatCode>0.0</c:formatCode>
                <c:ptCount val="30"/>
                <c:pt idx="0">
                  <c:v>13.9</c:v>
                </c:pt>
                <c:pt idx="1">
                  <c:v>12.1</c:v>
                </c:pt>
                <c:pt idx="2">
                  <c:v>15.7</c:v>
                </c:pt>
                <c:pt idx="3">
                  <c:v>21</c:v>
                </c:pt>
                <c:pt idx="4">
                  <c:v>46.2</c:v>
                </c:pt>
                <c:pt idx="5">
                  <c:v>22.9</c:v>
                </c:pt>
                <c:pt idx="6">
                  <c:v>69.1</c:v>
                </c:pt>
                <c:pt idx="7">
                  <c:v>89.3</c:v>
                </c:pt>
                <c:pt idx="8">
                  <c:v>133.8</c:v>
                </c:pt>
                <c:pt idx="9">
                  <c:v>111.9</c:v>
                </c:pt>
                <c:pt idx="10">
                  <c:v>93.7</c:v>
                </c:pt>
                <c:pt idx="11">
                  <c:v>100</c:v>
                </c:pt>
                <c:pt idx="12">
                  <c:v>114.7</c:v>
                </c:pt>
                <c:pt idx="13">
                  <c:v>74.2</c:v>
                </c:pt>
                <c:pt idx="14">
                  <c:v>74.8</c:v>
                </c:pt>
                <c:pt idx="15">
                  <c:v>49.9</c:v>
                </c:pt>
                <c:pt idx="16">
                  <c:v>68.2</c:v>
                </c:pt>
                <c:pt idx="17">
                  <c:v>119.3</c:v>
                </c:pt>
                <c:pt idx="18">
                  <c:v>58</c:v>
                </c:pt>
                <c:pt idx="19">
                  <c:v>56.4</c:v>
                </c:pt>
                <c:pt idx="20">
                  <c:v>56.5</c:v>
                </c:pt>
                <c:pt idx="21">
                  <c:v>48.8</c:v>
                </c:pt>
                <c:pt idx="22">
                  <c:v>48.7</c:v>
                </c:pt>
                <c:pt idx="23">
                  <c:v>86.9</c:v>
                </c:pt>
                <c:pt idx="24">
                  <c:v>57.2</c:v>
                </c:pt>
                <c:pt idx="25">
                  <c:v>49.4</c:v>
                </c:pt>
                <c:pt idx="26">
                  <c:v>78.4</c:v>
                </c:pt>
                <c:pt idx="27">
                  <c:v>46.1</c:v>
                </c:pt>
                <c:pt idx="28">
                  <c:v>43.4</c:v>
                </c:pt>
                <c:pt idx="29">
                  <c:v>51.2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수치'!$S$4:$S$33</c:f>
              <c:numCache>
                <c:formatCode>0.0</c:formatCode>
                <c:ptCount val="30"/>
                <c:pt idx="0">
                  <c:v>10.8</c:v>
                </c:pt>
                <c:pt idx="1">
                  <c:v>11.3</c:v>
                </c:pt>
                <c:pt idx="2">
                  <c:v>14</c:v>
                </c:pt>
                <c:pt idx="3">
                  <c:v>16.1</c:v>
                </c:pt>
                <c:pt idx="4">
                  <c:v>32.7</c:v>
                </c:pt>
                <c:pt idx="5">
                  <c:v>15.6</c:v>
                </c:pt>
                <c:pt idx="6">
                  <c:v>92.7</c:v>
                </c:pt>
                <c:pt idx="7">
                  <c:v>120</c:v>
                </c:pt>
                <c:pt idx="8">
                  <c:v>192.2</c:v>
                </c:pt>
                <c:pt idx="9">
                  <c:v>162.9</c:v>
                </c:pt>
                <c:pt idx="10">
                  <c:v>147.2</c:v>
                </c:pt>
                <c:pt idx="11">
                  <c:v>152.8</c:v>
                </c:pt>
                <c:pt idx="12">
                  <c:v>178</c:v>
                </c:pt>
                <c:pt idx="13">
                  <c:v>123.7</c:v>
                </c:pt>
                <c:pt idx="14">
                  <c:v>124</c:v>
                </c:pt>
                <c:pt idx="15">
                  <c:v>86.3</c:v>
                </c:pt>
                <c:pt idx="16">
                  <c:v>123.9</c:v>
                </c:pt>
                <c:pt idx="17">
                  <c:v>208</c:v>
                </c:pt>
                <c:pt idx="18">
                  <c:v>104</c:v>
                </c:pt>
                <c:pt idx="19">
                  <c:v>106.5</c:v>
                </c:pt>
                <c:pt idx="20">
                  <c:v>106.1</c:v>
                </c:pt>
                <c:pt idx="21">
                  <c:v>91</c:v>
                </c:pt>
                <c:pt idx="22">
                  <c:v>95.7</c:v>
                </c:pt>
                <c:pt idx="23">
                  <c:v>136.2</c:v>
                </c:pt>
                <c:pt idx="24">
                  <c:v>89.4</c:v>
                </c:pt>
                <c:pt idx="25">
                  <c:v>77.9</c:v>
                </c:pt>
                <c:pt idx="26">
                  <c:v>129.4</c:v>
                </c:pt>
                <c:pt idx="27">
                  <c:v>75.9</c:v>
                </c:pt>
                <c:pt idx="28">
                  <c:v>74.6</c:v>
                </c:pt>
                <c:pt idx="29">
                  <c:v>85.7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'보스 수치'!$A$4:$A$33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'보스 수치'!$AA$4:$AA$33</c:f>
              <c:numCache>
                <c:formatCode>0.0</c:formatCode>
                <c:ptCount val="30"/>
                <c:pt idx="0">
                  <c:v>9.1</c:v>
                </c:pt>
                <c:pt idx="1">
                  <c:v>9.6</c:v>
                </c:pt>
                <c:pt idx="2">
                  <c:v>11.6</c:v>
                </c:pt>
                <c:pt idx="3">
                  <c:v>14.3</c:v>
                </c:pt>
                <c:pt idx="4">
                  <c:v>26.4</c:v>
                </c:pt>
                <c:pt idx="5">
                  <c:v>13.2</c:v>
                </c:pt>
                <c:pt idx="6">
                  <c:v>111.5</c:v>
                </c:pt>
                <c:pt idx="7">
                  <c:v>145.9</c:v>
                </c:pt>
                <c:pt idx="8">
                  <c:v>232.4</c:v>
                </c:pt>
                <c:pt idx="9">
                  <c:v>199.3</c:v>
                </c:pt>
                <c:pt idx="10">
                  <c:v>177.6</c:v>
                </c:pt>
                <c:pt idx="11">
                  <c:v>196.3</c:v>
                </c:pt>
                <c:pt idx="12">
                  <c:v>246.2</c:v>
                </c:pt>
                <c:pt idx="13">
                  <c:v>157.3</c:v>
                </c:pt>
                <c:pt idx="14">
                  <c:v>167.2</c:v>
                </c:pt>
                <c:pt idx="15">
                  <c:v>122.9</c:v>
                </c:pt>
                <c:pt idx="16">
                  <c:v>173.7</c:v>
                </c:pt>
                <c:pt idx="17">
                  <c:v>288.3</c:v>
                </c:pt>
                <c:pt idx="18">
                  <c:v>152.1</c:v>
                </c:pt>
                <c:pt idx="19">
                  <c:v>154</c:v>
                </c:pt>
                <c:pt idx="20">
                  <c:v>161</c:v>
                </c:pt>
                <c:pt idx="21">
                  <c:v>137.3</c:v>
                </c:pt>
                <c:pt idx="22">
                  <c:v>145</c:v>
                </c:pt>
                <c:pt idx="23">
                  <c:v>215.4</c:v>
                </c:pt>
                <c:pt idx="24">
                  <c:v>140.7</c:v>
                </c:pt>
                <c:pt idx="25">
                  <c:v>125.7</c:v>
                </c:pt>
                <c:pt idx="26">
                  <c:v>206.4</c:v>
                </c:pt>
                <c:pt idx="27">
                  <c:v>120.2</c:v>
                </c:pt>
                <c:pt idx="28">
                  <c:v>117.2</c:v>
                </c:pt>
                <c:pt idx="29">
                  <c:v>139.7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7709333"/>
        <c:axId val="53242367"/>
      </c:lineChart>
      <c:catAx>
        <c:axId val="377093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42367"/>
        <c:crosses val="autoZero"/>
        <c:auto val="1"/>
        <c:lblAlgn val="ctr"/>
        <c:lblOffset val="100"/>
        <c:noMultiLvlLbl val="0"/>
      </c:catAx>
      <c:valAx>
        <c:axId val="53242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7093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스테이지 적 총 체력 (로그 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종합'!$F$4:$F$33</c:f>
              <c:numCache>
                <c:formatCode>#,##0</c:formatCode>
                <c:ptCount val="30"/>
                <c:pt idx="0">
                  <c:v>564</c:v>
                </c:pt>
                <c:pt idx="1">
                  <c:v>986</c:v>
                </c:pt>
                <c:pt idx="2">
                  <c:v>1632</c:v>
                </c:pt>
                <c:pt idx="3">
                  <c:v>2671</c:v>
                </c:pt>
                <c:pt idx="4">
                  <c:v>1776</c:v>
                </c:pt>
                <c:pt idx="5">
                  <c:v>4078</c:v>
                </c:pt>
                <c:pt idx="6">
                  <c:v>7497</c:v>
                </c:pt>
                <c:pt idx="7">
                  <c:v>7078</c:v>
                </c:pt>
                <c:pt idx="8">
                  <c:v>11367</c:v>
                </c:pt>
                <c:pt idx="9">
                  <c:v>10624</c:v>
                </c:pt>
                <c:pt idx="10">
                  <c:v>8907</c:v>
                </c:pt>
                <c:pt idx="11">
                  <c:v>11920</c:v>
                </c:pt>
                <c:pt idx="12">
                  <c:v>6628</c:v>
                </c:pt>
                <c:pt idx="13">
                  <c:v>25415</c:v>
                </c:pt>
                <c:pt idx="14">
                  <c:v>16500</c:v>
                </c:pt>
                <c:pt idx="15">
                  <c:v>20183</c:v>
                </c:pt>
                <c:pt idx="16">
                  <c:v>26000</c:v>
                </c:pt>
                <c:pt idx="17">
                  <c:v>7473</c:v>
                </c:pt>
                <c:pt idx="18">
                  <c:v>25182</c:v>
                </c:pt>
                <c:pt idx="19">
                  <c:v>24140</c:v>
                </c:pt>
                <c:pt idx="20">
                  <c:v>27194</c:v>
                </c:pt>
                <c:pt idx="21">
                  <c:v>30237</c:v>
                </c:pt>
                <c:pt idx="22">
                  <c:v>30106</c:v>
                </c:pt>
                <c:pt idx="23">
                  <c:v>26424</c:v>
                </c:pt>
                <c:pt idx="24">
                  <c:v>36166</c:v>
                </c:pt>
                <c:pt idx="25">
                  <c:v>34570</c:v>
                </c:pt>
                <c:pt idx="26">
                  <c:v>38757</c:v>
                </c:pt>
                <c:pt idx="27">
                  <c:v>56535</c:v>
                </c:pt>
                <c:pt idx="28">
                  <c:v>58736</c:v>
                </c:pt>
                <c:pt idx="29">
                  <c:v>55367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종합'!$L$4:$L$33</c:f>
              <c:numCache>
                <c:formatCode>#,##0</c:formatCode>
                <c:ptCount val="30"/>
                <c:pt idx="0">
                  <c:v>4537</c:v>
                </c:pt>
                <c:pt idx="1">
                  <c:v>5586</c:v>
                </c:pt>
                <c:pt idx="2">
                  <c:v>6932</c:v>
                </c:pt>
                <c:pt idx="3">
                  <c:v>7477</c:v>
                </c:pt>
                <c:pt idx="4">
                  <c:v>3339</c:v>
                </c:pt>
                <c:pt idx="5">
                  <c:v>7041</c:v>
                </c:pt>
                <c:pt idx="6">
                  <c:v>24132</c:v>
                </c:pt>
                <c:pt idx="7">
                  <c:v>20908</c:v>
                </c:pt>
                <c:pt idx="8">
                  <c:v>31672</c:v>
                </c:pt>
                <c:pt idx="9">
                  <c:v>25785</c:v>
                </c:pt>
                <c:pt idx="10">
                  <c:v>21252</c:v>
                </c:pt>
                <c:pt idx="11">
                  <c:v>26254</c:v>
                </c:pt>
                <c:pt idx="12">
                  <c:v>0</c:v>
                </c:pt>
                <c:pt idx="13">
                  <c:v>19818</c:v>
                </c:pt>
                <c:pt idx="14">
                  <c:v>46003</c:v>
                </c:pt>
                <c:pt idx="15">
                  <c:v>39424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종합'!$R$4:$R$33</c:f>
              <c:numCache>
                <c:formatCode>#,##0</c:formatCode>
                <c:ptCount val="30"/>
                <c:pt idx="0">
                  <c:v>9735</c:v>
                </c:pt>
                <c:pt idx="1">
                  <c:v>11761</c:v>
                </c:pt>
                <c:pt idx="2">
                  <c:v>14264</c:v>
                </c:pt>
                <c:pt idx="3">
                  <c:v>14972</c:v>
                </c:pt>
                <c:pt idx="4">
                  <c:v>5811</c:v>
                </c:pt>
                <c:pt idx="5">
                  <c:v>11788</c:v>
                </c:pt>
                <c:pt idx="6">
                  <c:v>42452</c:v>
                </c:pt>
                <c:pt idx="7">
                  <c:v>50216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057933"/>
        <c:axId val="9172616"/>
      </c:lineChart>
      <c:catAx>
        <c:axId val="52057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2616"/>
        <c:crosses val="autoZero"/>
        <c:auto val="1"/>
        <c:lblAlgn val="ctr"/>
        <c:lblOffset val="100"/>
        <c:noMultiLvlLbl val="0"/>
      </c:catAx>
      <c:valAx>
        <c:axId val="917261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 체력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579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추천 종합 수치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종합'!$G$4:$G$33</c:f>
              <c:numCache>
                <c:formatCode>#,##0</c:formatCode>
                <c:ptCount val="30"/>
                <c:pt idx="0">
                  <c:v>28</c:v>
                </c:pt>
                <c:pt idx="1">
                  <c:v>45</c:v>
                </c:pt>
                <c:pt idx="2">
                  <c:v>60</c:v>
                </c:pt>
                <c:pt idx="3">
                  <c:v>74</c:v>
                </c:pt>
                <c:pt idx="4">
                  <c:v>87</c:v>
                </c:pt>
                <c:pt idx="5">
                  <c:v>100</c:v>
                </c:pt>
                <c:pt idx="6">
                  <c:v>122</c:v>
                </c:pt>
                <c:pt idx="7">
                  <c:v>130</c:v>
                </c:pt>
                <c:pt idx="8">
                  <c:v>138</c:v>
                </c:pt>
                <c:pt idx="9">
                  <c:v>155</c:v>
                </c:pt>
                <c:pt idx="10">
                  <c:v>163</c:v>
                </c:pt>
                <c:pt idx="11">
                  <c:v>170</c:v>
                </c:pt>
                <c:pt idx="12">
                  <c:v>187</c:v>
                </c:pt>
                <c:pt idx="13">
                  <c:v>194</c:v>
                </c:pt>
                <c:pt idx="14">
                  <c:v>201</c:v>
                </c:pt>
                <c:pt idx="15">
                  <c:v>217</c:v>
                </c:pt>
                <c:pt idx="16">
                  <c:v>224</c:v>
                </c:pt>
                <c:pt idx="17">
                  <c:v>231</c:v>
                </c:pt>
                <c:pt idx="18">
                  <c:v>247</c:v>
                </c:pt>
                <c:pt idx="19">
                  <c:v>254</c:v>
                </c:pt>
                <c:pt idx="20">
                  <c:v>260</c:v>
                </c:pt>
                <c:pt idx="21">
                  <c:v>276</c:v>
                </c:pt>
                <c:pt idx="22">
                  <c:v>283</c:v>
                </c:pt>
                <c:pt idx="23">
                  <c:v>290</c:v>
                </c:pt>
                <c:pt idx="24">
                  <c:v>305</c:v>
                </c:pt>
                <c:pt idx="25">
                  <c:v>311</c:v>
                </c:pt>
                <c:pt idx="26">
                  <c:v>318</c:v>
                </c:pt>
                <c:pt idx="27">
                  <c:v>333</c:v>
                </c:pt>
                <c:pt idx="28">
                  <c:v>339</c:v>
                </c:pt>
                <c:pt idx="29">
                  <c:v>346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종합'!$M$4:$M$33</c:f>
              <c:numCache>
                <c:formatCode>#,##0</c:formatCode>
                <c:ptCount val="30"/>
                <c:pt idx="0">
                  <c:v>165</c:v>
                </c:pt>
                <c:pt idx="1">
                  <c:v>169</c:v>
                </c:pt>
                <c:pt idx="2">
                  <c:v>173</c:v>
                </c:pt>
                <c:pt idx="3">
                  <c:v>176</c:v>
                </c:pt>
                <c:pt idx="4">
                  <c:v>180</c:v>
                </c:pt>
                <c:pt idx="5">
                  <c:v>187</c:v>
                </c:pt>
                <c:pt idx="6">
                  <c:v>280</c:v>
                </c:pt>
                <c:pt idx="7">
                  <c:v>308</c:v>
                </c:pt>
                <c:pt idx="8">
                  <c:v>355</c:v>
                </c:pt>
                <c:pt idx="9">
                  <c:v>394</c:v>
                </c:pt>
                <c:pt idx="10">
                  <c:v>365</c:v>
                </c:pt>
                <c:pt idx="11">
                  <c:v>399</c:v>
                </c:pt>
                <c:pt idx="12">
                  <c:v>479</c:v>
                </c:pt>
                <c:pt idx="13">
                  <c:v>407</c:v>
                </c:pt>
                <c:pt idx="14">
                  <c:v>376</c:v>
                </c:pt>
                <c:pt idx="15">
                  <c:v>396</c:v>
                </c:pt>
                <c:pt idx="16">
                  <c:v>457</c:v>
                </c:pt>
                <c:pt idx="17">
                  <c:v>555</c:v>
                </c:pt>
                <c:pt idx="18">
                  <c:v>507</c:v>
                </c:pt>
                <c:pt idx="19">
                  <c:v>284</c:v>
                </c:pt>
                <c:pt idx="20">
                  <c:v>516</c:v>
                </c:pt>
                <c:pt idx="21">
                  <c:v>518</c:v>
                </c:pt>
                <c:pt idx="22">
                  <c:v>535</c:v>
                </c:pt>
                <c:pt idx="23">
                  <c:v>656</c:v>
                </c:pt>
                <c:pt idx="24">
                  <c:v>593</c:v>
                </c:pt>
                <c:pt idx="25">
                  <c:v>580</c:v>
                </c:pt>
                <c:pt idx="26">
                  <c:v>684</c:v>
                </c:pt>
                <c:pt idx="27">
                  <c:v>613</c:v>
                </c:pt>
                <c:pt idx="28">
                  <c:v>951</c:v>
                </c:pt>
                <c:pt idx="29">
                  <c:v>712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종합'!$S$4:$S$33</c:f>
              <c:numCache>
                <c:formatCode>#,##0</c:formatCode>
                <c:ptCount val="30"/>
                <c:pt idx="0">
                  <c:v>270</c:v>
                </c:pt>
                <c:pt idx="1">
                  <c:v>270</c:v>
                </c:pt>
                <c:pt idx="2">
                  <c:v>270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483</c:v>
                </c:pt>
                <c:pt idx="7">
                  <c:v>523</c:v>
                </c:pt>
                <c:pt idx="8">
                  <c:v>600</c:v>
                </c:pt>
                <c:pt idx="9">
                  <c:v>661</c:v>
                </c:pt>
                <c:pt idx="10">
                  <c:v>605</c:v>
                </c:pt>
                <c:pt idx="11">
                  <c:v>653</c:v>
                </c:pt>
                <c:pt idx="12">
                  <c:v>775</c:v>
                </c:pt>
                <c:pt idx="13">
                  <c:v>654</c:v>
                </c:pt>
                <c:pt idx="14">
                  <c:v>594</c:v>
                </c:pt>
                <c:pt idx="15">
                  <c:v>614</c:v>
                </c:pt>
                <c:pt idx="16">
                  <c:v>698</c:v>
                </c:pt>
                <c:pt idx="17">
                  <c:v>837</c:v>
                </c:pt>
                <c:pt idx="18">
                  <c:v>754</c:v>
                </c:pt>
                <c:pt idx="19">
                  <c:v>317</c:v>
                </c:pt>
                <c:pt idx="20">
                  <c:v>752</c:v>
                </c:pt>
                <c:pt idx="21">
                  <c:v>747</c:v>
                </c:pt>
                <c:pt idx="22">
                  <c:v>773</c:v>
                </c:pt>
                <c:pt idx="23">
                  <c:v>940</c:v>
                </c:pt>
                <c:pt idx="24">
                  <c:v>840</c:v>
                </c:pt>
                <c:pt idx="25">
                  <c:v>804</c:v>
                </c:pt>
                <c:pt idx="26">
                  <c:v>939</c:v>
                </c:pt>
                <c:pt idx="27">
                  <c:v>832</c:v>
                </c:pt>
                <c:pt idx="28">
                  <c:v>1277</c:v>
                </c:pt>
                <c:pt idx="29">
                  <c:v>949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858878"/>
        <c:axId val="19724787"/>
      </c:lineChart>
      <c:catAx>
        <c:axId val="2858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24787"/>
        <c:crosses val="autoZero"/>
        <c:auto val="1"/>
        <c:lblAlgn val="ctr"/>
        <c:lblOffset val="100"/>
        <c:noMultiLvlLbl val="0"/>
      </c:catAx>
      <c:valAx>
        <c:axId val="19724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종합 수치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88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처음 돌파 경험치 (로그 축)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종합'!$I$4:$I$33</c:f>
              <c:numCache>
                <c:formatCode>#,##0</c:formatCode>
                <c:ptCount val="30"/>
                <c:pt idx="0">
                  <c:v>124</c:v>
                </c:pt>
                <c:pt idx="1">
                  <c:v>236</c:v>
                </c:pt>
                <c:pt idx="2">
                  <c:v>403</c:v>
                </c:pt>
                <c:pt idx="3">
                  <c:v>593</c:v>
                </c:pt>
                <c:pt idx="4">
                  <c:v>806</c:v>
                </c:pt>
                <c:pt idx="5">
                  <c:v>1070</c:v>
                </c:pt>
                <c:pt idx="6">
                  <c:v>854</c:v>
                </c:pt>
                <c:pt idx="7">
                  <c:v>987</c:v>
                </c:pt>
                <c:pt idx="8">
                  <c:v>1099</c:v>
                </c:pt>
                <c:pt idx="9">
                  <c:v>1217</c:v>
                </c:pt>
                <c:pt idx="10">
                  <c:v>1368</c:v>
                </c:pt>
                <c:pt idx="11">
                  <c:v>1529</c:v>
                </c:pt>
                <c:pt idx="12">
                  <c:v>1659</c:v>
                </c:pt>
                <c:pt idx="13">
                  <c:v>1796</c:v>
                </c:pt>
                <c:pt idx="14">
                  <c:v>1969</c:v>
                </c:pt>
                <c:pt idx="15">
                  <c:v>2144</c:v>
                </c:pt>
                <c:pt idx="16">
                  <c:v>2294</c:v>
                </c:pt>
                <c:pt idx="17">
                  <c:v>2439</c:v>
                </c:pt>
                <c:pt idx="18">
                  <c:v>2631</c:v>
                </c:pt>
                <c:pt idx="19">
                  <c:v>2824</c:v>
                </c:pt>
                <c:pt idx="20">
                  <c:v>2990</c:v>
                </c:pt>
                <c:pt idx="21">
                  <c:v>3151</c:v>
                </c:pt>
                <c:pt idx="22">
                  <c:v>3358</c:v>
                </c:pt>
                <c:pt idx="23">
                  <c:v>3568</c:v>
                </c:pt>
                <c:pt idx="24">
                  <c:v>3743</c:v>
                </c:pt>
                <c:pt idx="25">
                  <c:v>3918</c:v>
                </c:pt>
                <c:pt idx="26">
                  <c:v>4137</c:v>
                </c:pt>
                <c:pt idx="27">
                  <c:v>4368</c:v>
                </c:pt>
                <c:pt idx="28">
                  <c:v>4558</c:v>
                </c:pt>
                <c:pt idx="29">
                  <c:v>4736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종합'!$O$4:$O$33</c:f>
              <c:numCache>
                <c:formatCode>#,##0</c:formatCode>
                <c:ptCount val="30"/>
                <c:pt idx="0">
                  <c:v>186</c:v>
                </c:pt>
                <c:pt idx="1">
                  <c:v>354</c:v>
                </c:pt>
                <c:pt idx="2">
                  <c:v>604</c:v>
                </c:pt>
                <c:pt idx="3">
                  <c:v>889</c:v>
                </c:pt>
                <c:pt idx="4">
                  <c:v>1209</c:v>
                </c:pt>
                <c:pt idx="5">
                  <c:v>1605</c:v>
                </c:pt>
                <c:pt idx="6">
                  <c:v>1280</c:v>
                </c:pt>
                <c:pt idx="7">
                  <c:v>1481</c:v>
                </c:pt>
                <c:pt idx="8">
                  <c:v>1649</c:v>
                </c:pt>
                <c:pt idx="9">
                  <c:v>1825</c:v>
                </c:pt>
                <c:pt idx="10">
                  <c:v>2052</c:v>
                </c:pt>
                <c:pt idx="11">
                  <c:v>2293</c:v>
                </c:pt>
                <c:pt idx="12">
                  <c:v>2488</c:v>
                </c:pt>
                <c:pt idx="13">
                  <c:v>2694</c:v>
                </c:pt>
                <c:pt idx="14">
                  <c:v>2954</c:v>
                </c:pt>
                <c:pt idx="15">
                  <c:v>3216</c:v>
                </c:pt>
                <c:pt idx="16">
                  <c:v>3441</c:v>
                </c:pt>
                <c:pt idx="17">
                  <c:v>3659</c:v>
                </c:pt>
                <c:pt idx="18">
                  <c:v>3946</c:v>
                </c:pt>
                <c:pt idx="19">
                  <c:v>4235</c:v>
                </c:pt>
                <c:pt idx="20">
                  <c:v>4485</c:v>
                </c:pt>
                <c:pt idx="21">
                  <c:v>4727</c:v>
                </c:pt>
                <c:pt idx="22">
                  <c:v>5037</c:v>
                </c:pt>
                <c:pt idx="23">
                  <c:v>5352</c:v>
                </c:pt>
                <c:pt idx="24">
                  <c:v>5614</c:v>
                </c:pt>
                <c:pt idx="25">
                  <c:v>5877</c:v>
                </c:pt>
                <c:pt idx="26">
                  <c:v>6206</c:v>
                </c:pt>
                <c:pt idx="27">
                  <c:v>6552</c:v>
                </c:pt>
                <c:pt idx="28">
                  <c:v>6837</c:v>
                </c:pt>
                <c:pt idx="29">
                  <c:v>7104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종합'!$U$4:$U$33</c:f>
              <c:numCache>
                <c:formatCode>#,##0</c:formatCode>
                <c:ptCount val="30"/>
                <c:pt idx="0">
                  <c:v>273</c:v>
                </c:pt>
                <c:pt idx="1">
                  <c:v>520</c:v>
                </c:pt>
                <c:pt idx="2">
                  <c:v>887</c:v>
                </c:pt>
                <c:pt idx="3">
                  <c:v>1305</c:v>
                </c:pt>
                <c:pt idx="4">
                  <c:v>1773</c:v>
                </c:pt>
                <c:pt idx="5">
                  <c:v>2354</c:v>
                </c:pt>
                <c:pt idx="6">
                  <c:v>1879</c:v>
                </c:pt>
                <c:pt idx="7">
                  <c:v>2171</c:v>
                </c:pt>
                <c:pt idx="8">
                  <c:v>2417</c:v>
                </c:pt>
                <c:pt idx="9">
                  <c:v>2678</c:v>
                </c:pt>
                <c:pt idx="10">
                  <c:v>3010</c:v>
                </c:pt>
                <c:pt idx="11">
                  <c:v>3364</c:v>
                </c:pt>
                <c:pt idx="12">
                  <c:v>3650</c:v>
                </c:pt>
                <c:pt idx="13">
                  <c:v>3951</c:v>
                </c:pt>
                <c:pt idx="14">
                  <c:v>4331</c:v>
                </c:pt>
                <c:pt idx="15">
                  <c:v>4717</c:v>
                </c:pt>
                <c:pt idx="16">
                  <c:v>5047</c:v>
                </c:pt>
                <c:pt idx="17">
                  <c:v>5366</c:v>
                </c:pt>
                <c:pt idx="18">
                  <c:v>5788</c:v>
                </c:pt>
                <c:pt idx="19">
                  <c:v>6213</c:v>
                </c:pt>
                <c:pt idx="20">
                  <c:v>6578</c:v>
                </c:pt>
                <c:pt idx="21">
                  <c:v>6932</c:v>
                </c:pt>
                <c:pt idx="22">
                  <c:v>7388</c:v>
                </c:pt>
                <c:pt idx="23">
                  <c:v>7850</c:v>
                </c:pt>
                <c:pt idx="24">
                  <c:v>8235</c:v>
                </c:pt>
                <c:pt idx="25">
                  <c:v>8620</c:v>
                </c:pt>
                <c:pt idx="26">
                  <c:v>9101</c:v>
                </c:pt>
                <c:pt idx="27">
                  <c:v>9610</c:v>
                </c:pt>
                <c:pt idx="28">
                  <c:v>10028</c:v>
                </c:pt>
                <c:pt idx="29">
                  <c:v>10419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727786"/>
        <c:axId val="904572"/>
      </c:lineChart>
      <c:catAx>
        <c:axId val="437277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572"/>
        <c:crosses val="autoZero"/>
        <c:auto val="1"/>
        <c:lblAlgn val="ctr"/>
        <c:lblOffset val="100"/>
        <c:noMultiLvlLbl val="0"/>
      </c:catAx>
      <c:valAx>
        <c:axId val="90457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경험치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277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신속 별 한도 합 (행동 수)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"일반"</c:f>
              <c:strCache>
                <c:ptCount val="1"/>
                <c:pt idx="0">
                  <c:v>일반</c:v>
                </c:pt>
              </c:strCache>
            </c:strRef>
          </c:tx>
          <c:spPr>
            <a:solidFill>
              <a:srgbClr val="38761d"/>
            </a:solidFill>
            <a:ln w="21960">
              <a:solidFill>
                <a:srgbClr val="38761d"/>
              </a:solidFill>
              <a:round/>
            </a:ln>
          </c:spPr>
          <c:marker>
            <c:symbol val="circle"/>
            <c:size val="4"/>
            <c:spPr>
              <a:solidFill>
                <a:srgbClr val="38761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종합'!$K$4:$K$33</c:f>
              <c:numCache>
                <c:formatCode>0</c:formatCode>
                <c:ptCount val="30"/>
                <c:pt idx="0">
                  <c:v>29</c:v>
                </c:pt>
                <c:pt idx="1">
                  <c:v>17</c:v>
                </c:pt>
                <c:pt idx="2">
                  <c:v>14</c:v>
                </c:pt>
                <c:pt idx="3">
                  <c:v>20</c:v>
                </c:pt>
                <c:pt idx="4">
                  <c:v>13</c:v>
                </c:pt>
                <c:pt idx="5">
                  <c:v>21</c:v>
                </c:pt>
                <c:pt idx="6">
                  <c:v>35</c:v>
                </c:pt>
                <c:pt idx="7">
                  <c:v>28</c:v>
                </c:pt>
                <c:pt idx="8">
                  <c:v>42</c:v>
                </c:pt>
                <c:pt idx="9">
                  <c:v>33</c:v>
                </c:pt>
                <c:pt idx="10">
                  <c:v>26</c:v>
                </c:pt>
                <c:pt idx="11">
                  <c:v>32</c:v>
                </c:pt>
                <c:pt idx="12">
                  <c:v>35</c:v>
                </c:pt>
                <c:pt idx="13">
                  <c:v>64</c:v>
                </c:pt>
                <c:pt idx="14">
                  <c:v>43</c:v>
                </c:pt>
                <c:pt idx="15">
                  <c:v>45</c:v>
                </c:pt>
                <c:pt idx="16">
                  <c:v>51</c:v>
                </c:pt>
                <c:pt idx="17">
                  <c:v>39</c:v>
                </c:pt>
                <c:pt idx="18">
                  <c:v>68</c:v>
                </c:pt>
                <c:pt idx="19">
                  <c:v>72</c:v>
                </c:pt>
                <c:pt idx="20">
                  <c:v>69</c:v>
                </c:pt>
                <c:pt idx="21">
                  <c:v>88</c:v>
                </c:pt>
                <c:pt idx="22">
                  <c:v>89</c:v>
                </c:pt>
                <c:pt idx="23">
                  <c:v>108</c:v>
                </c:pt>
                <c:pt idx="24">
                  <c:v>93</c:v>
                </c:pt>
                <c:pt idx="25">
                  <c:v>93</c:v>
                </c:pt>
                <c:pt idx="26">
                  <c:v>104</c:v>
                </c:pt>
                <c:pt idx="27">
                  <c:v>125</c:v>
                </c:pt>
                <c:pt idx="28">
                  <c:v>190</c:v>
                </c:pt>
                <c:pt idx="29">
                  <c:v>118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"어려움"</c:f>
              <c:strCache>
                <c:ptCount val="1"/>
                <c:pt idx="0">
                  <c:v>어려움</c:v>
                </c:pt>
              </c:strCache>
            </c:strRef>
          </c:tx>
          <c:spPr>
            <a:solidFill>
              <a:srgbClr val="e69138"/>
            </a:solidFill>
            <a:ln w="21960">
              <a:solidFill>
                <a:srgbClr val="e69138"/>
              </a:solidFill>
              <a:round/>
            </a:ln>
          </c:spPr>
          <c:marker>
            <c:symbol val="circle"/>
            <c:size val="4"/>
            <c:spPr>
              <a:solidFill>
                <a:srgbClr val="e6913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종합'!$Q$4:$Q$33</c:f>
              <c:numCache>
                <c:formatCode>0</c:formatCode>
                <c:ptCount val="30"/>
                <c:pt idx="0">
                  <c:v>36</c:v>
                </c:pt>
                <c:pt idx="1">
                  <c:v>21</c:v>
                </c:pt>
                <c:pt idx="2">
                  <c:v>17</c:v>
                </c:pt>
                <c:pt idx="3">
                  <c:v>23</c:v>
                </c:pt>
                <c:pt idx="4">
                  <c:v>15</c:v>
                </c:pt>
                <c:pt idx="5">
                  <c:v>24</c:v>
                </c:pt>
                <c:pt idx="6">
                  <c:v>88</c:v>
                </c:pt>
                <c:pt idx="7">
                  <c:v>71</c:v>
                </c:pt>
                <c:pt idx="8">
                  <c:v>108</c:v>
                </c:pt>
                <c:pt idx="9">
                  <c:v>87</c:v>
                </c:pt>
                <c:pt idx="10">
                  <c:v>69</c:v>
                </c:pt>
                <c:pt idx="11">
                  <c:v>83</c:v>
                </c:pt>
                <c:pt idx="12">
                  <c:v>91</c:v>
                </c:pt>
                <c:pt idx="13">
                  <c:v>178</c:v>
                </c:pt>
                <c:pt idx="14">
                  <c:v>122</c:v>
                </c:pt>
                <c:pt idx="15">
                  <c:v>130</c:v>
                </c:pt>
                <c:pt idx="16">
                  <c:v>149</c:v>
                </c:pt>
                <c:pt idx="17">
                  <c:v>110</c:v>
                </c:pt>
                <c:pt idx="18">
                  <c:v>204</c:v>
                </c:pt>
                <c:pt idx="19">
                  <c:v>219</c:v>
                </c:pt>
                <c:pt idx="20">
                  <c:v>214</c:v>
                </c:pt>
                <c:pt idx="21">
                  <c:v>276</c:v>
                </c:pt>
                <c:pt idx="22">
                  <c:v>283</c:v>
                </c:pt>
                <c:pt idx="23">
                  <c:v>348</c:v>
                </c:pt>
                <c:pt idx="24">
                  <c:v>304</c:v>
                </c:pt>
                <c:pt idx="25">
                  <c:v>308</c:v>
                </c:pt>
                <c:pt idx="26">
                  <c:v>350</c:v>
                </c:pt>
                <c:pt idx="27">
                  <c:v>427</c:v>
                </c:pt>
                <c:pt idx="28">
                  <c:v>656</c:v>
                </c:pt>
                <c:pt idx="29">
                  <c:v>391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"극악"</c:f>
              <c:strCache>
                <c:ptCount val="1"/>
                <c:pt idx="0">
                  <c:v>극악</c:v>
                </c:pt>
              </c:strCache>
            </c:strRef>
          </c:tx>
          <c:spPr>
            <a:solidFill>
              <a:srgbClr val="cc0000"/>
            </a:solidFill>
            <a:ln w="21960">
              <a:solidFill>
                <a:srgbClr val="cc0000"/>
              </a:solidFill>
              <a:round/>
            </a:ln>
          </c:spPr>
          <c:marker>
            <c:symbol val="circle"/>
            <c:size val="4"/>
            <c:spPr>
              <a:solidFill>
                <a:srgbClr val="cc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'스테이지 종합'!$A$4:$A$33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'스테이지 종합'!$W$4:$W$33</c:f>
              <c:numCache>
                <c:formatCode>0</c:formatCode>
                <c:ptCount val="30"/>
                <c:pt idx="0">
                  <c:v>41</c:v>
                </c:pt>
                <c:pt idx="1">
                  <c:v>25</c:v>
                </c:pt>
                <c:pt idx="2">
                  <c:v>20</c:v>
                </c:pt>
                <c:pt idx="3">
                  <c:v>24</c:v>
                </c:pt>
                <c:pt idx="4">
                  <c:v>15</c:v>
                </c:pt>
                <c:pt idx="5">
                  <c:v>24</c:v>
                </c:pt>
                <c:pt idx="6">
                  <c:v>140</c:v>
                </c:pt>
                <c:pt idx="7">
                  <c:v>115</c:v>
                </c:pt>
                <c:pt idx="8">
                  <c:v>178</c:v>
                </c:pt>
                <c:pt idx="9">
                  <c:v>142</c:v>
                </c:pt>
                <c:pt idx="10">
                  <c:v>116</c:v>
                </c:pt>
                <c:pt idx="11">
                  <c:v>138</c:v>
                </c:pt>
                <c:pt idx="12">
                  <c:v>154</c:v>
                </c:pt>
                <c:pt idx="13">
                  <c:v>304</c:v>
                </c:pt>
                <c:pt idx="14">
                  <c:v>210</c:v>
                </c:pt>
                <c:pt idx="15">
                  <c:v>225</c:v>
                </c:pt>
                <c:pt idx="16">
                  <c:v>261</c:v>
                </c:pt>
                <c:pt idx="17">
                  <c:v>193</c:v>
                </c:pt>
                <c:pt idx="18">
                  <c:v>362</c:v>
                </c:pt>
                <c:pt idx="19">
                  <c:v>392</c:v>
                </c:pt>
                <c:pt idx="20">
                  <c:v>384</c:v>
                </c:pt>
                <c:pt idx="21">
                  <c:v>499</c:v>
                </c:pt>
                <c:pt idx="22">
                  <c:v>515</c:v>
                </c:pt>
                <c:pt idx="23">
                  <c:v>639</c:v>
                </c:pt>
                <c:pt idx="24">
                  <c:v>561</c:v>
                </c:pt>
                <c:pt idx="25">
                  <c:v>572</c:v>
                </c:pt>
                <c:pt idx="26">
                  <c:v>652</c:v>
                </c:pt>
                <c:pt idx="27">
                  <c:v>798</c:v>
                </c:pt>
                <c:pt idx="28">
                  <c:v>1236</c:v>
                </c:pt>
                <c:pt idx="29">
                  <c:v>740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496521"/>
        <c:axId val="8502038"/>
      </c:lineChart>
      <c:catAx>
        <c:axId val="614965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스테이지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2038"/>
        <c:crosses val="autoZero"/>
        <c:auto val="1"/>
        <c:lblAlgn val="ctr"/>
        <c:lblOffset val="100"/>
        <c:noMultiLvlLbl val="0"/>
      </c:catAx>
      <c:valAx>
        <c:axId val="8502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행동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965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134640</xdr:rowOff>
    </xdr:from>
    <xdr:to>
      <xdr:col>10</xdr:col>
      <xdr:colOff>4680</xdr:colOff>
      <xdr:row>18</xdr:row>
      <xdr:rowOff>135720</xdr:rowOff>
    </xdr:to>
    <xdr:graphicFrame>
      <xdr:nvGraphicFramePr>
        <xdr:cNvPr id="0" name="Chart 1"/>
        <xdr:cNvGraphicFramePr/>
      </xdr:nvGraphicFramePr>
      <xdr:xfrm>
        <a:off x="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134640</xdr:rowOff>
    </xdr:from>
    <xdr:to>
      <xdr:col>20</xdr:col>
      <xdr:colOff>4320</xdr:colOff>
      <xdr:row>18</xdr:row>
      <xdr:rowOff>135720</xdr:rowOff>
    </xdr:to>
    <xdr:graphicFrame>
      <xdr:nvGraphicFramePr>
        <xdr:cNvPr id="1" name="Chart 2"/>
        <xdr:cNvGraphicFramePr/>
      </xdr:nvGraphicFramePr>
      <xdr:xfrm>
        <a:off x="611496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134640</xdr:rowOff>
    </xdr:from>
    <xdr:to>
      <xdr:col>10</xdr:col>
      <xdr:colOff>4680</xdr:colOff>
      <xdr:row>37</xdr:row>
      <xdr:rowOff>136080</xdr:rowOff>
    </xdr:to>
    <xdr:graphicFrame>
      <xdr:nvGraphicFramePr>
        <xdr:cNvPr id="2" name="Chart 3"/>
        <xdr:cNvGraphicFramePr/>
      </xdr:nvGraphicFramePr>
      <xdr:xfrm>
        <a:off x="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134640</xdr:rowOff>
    </xdr:from>
    <xdr:to>
      <xdr:col>20</xdr:col>
      <xdr:colOff>4320</xdr:colOff>
      <xdr:row>37</xdr:row>
      <xdr:rowOff>136080</xdr:rowOff>
    </xdr:to>
    <xdr:graphicFrame>
      <xdr:nvGraphicFramePr>
        <xdr:cNvPr id="3" name="Chart 4"/>
        <xdr:cNvGraphicFramePr/>
      </xdr:nvGraphicFramePr>
      <xdr:xfrm>
        <a:off x="611496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134640</xdr:rowOff>
    </xdr:from>
    <xdr:to>
      <xdr:col>10</xdr:col>
      <xdr:colOff>4680</xdr:colOff>
      <xdr:row>56</xdr:row>
      <xdr:rowOff>135720</xdr:rowOff>
    </xdr:to>
    <xdr:graphicFrame>
      <xdr:nvGraphicFramePr>
        <xdr:cNvPr id="4" name="Chart 5"/>
        <xdr:cNvGraphicFramePr/>
      </xdr:nvGraphicFramePr>
      <xdr:xfrm>
        <a:off x="0" y="762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39</xdr:row>
      <xdr:rowOff>134640</xdr:rowOff>
    </xdr:from>
    <xdr:to>
      <xdr:col>20</xdr:col>
      <xdr:colOff>4320</xdr:colOff>
      <xdr:row>56</xdr:row>
      <xdr:rowOff>135720</xdr:rowOff>
    </xdr:to>
    <xdr:graphicFrame>
      <xdr:nvGraphicFramePr>
        <xdr:cNvPr id="5" name="Chart 6"/>
        <xdr:cNvGraphicFramePr/>
      </xdr:nvGraphicFramePr>
      <xdr:xfrm>
        <a:off x="6114960" y="76201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58</xdr:row>
      <xdr:rowOff>134640</xdr:rowOff>
    </xdr:from>
    <xdr:to>
      <xdr:col>10</xdr:col>
      <xdr:colOff>4680</xdr:colOff>
      <xdr:row>75</xdr:row>
      <xdr:rowOff>135720</xdr:rowOff>
    </xdr:to>
    <xdr:graphicFrame>
      <xdr:nvGraphicFramePr>
        <xdr:cNvPr id="6" name="Chart 7"/>
        <xdr:cNvGraphicFramePr/>
      </xdr:nvGraphicFramePr>
      <xdr:xfrm>
        <a:off x="0" y="11239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58</xdr:row>
      <xdr:rowOff>134640</xdr:rowOff>
    </xdr:from>
    <xdr:to>
      <xdr:col>20</xdr:col>
      <xdr:colOff>4320</xdr:colOff>
      <xdr:row>75</xdr:row>
      <xdr:rowOff>135720</xdr:rowOff>
    </xdr:to>
    <xdr:graphicFrame>
      <xdr:nvGraphicFramePr>
        <xdr:cNvPr id="7" name="Chart 8"/>
        <xdr:cNvGraphicFramePr/>
      </xdr:nvGraphicFramePr>
      <xdr:xfrm>
        <a:off x="6114960" y="1123956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77</xdr:row>
      <xdr:rowOff>134640</xdr:rowOff>
    </xdr:from>
    <xdr:to>
      <xdr:col>10</xdr:col>
      <xdr:colOff>4680</xdr:colOff>
      <xdr:row>94</xdr:row>
      <xdr:rowOff>135720</xdr:rowOff>
    </xdr:to>
    <xdr:graphicFrame>
      <xdr:nvGraphicFramePr>
        <xdr:cNvPr id="8" name="Chart 9"/>
        <xdr:cNvGraphicFramePr/>
      </xdr:nvGraphicFramePr>
      <xdr:xfrm>
        <a:off x="0" y="1485900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4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1</v>
      </c>
      <c r="C5" s="5" t="n">
        <v>2.005</v>
      </c>
      <c r="D5" s="5" t="n">
        <v>3.461</v>
      </c>
      <c r="E5" s="6" t="n">
        <f aca="false">IF(B5=0,"-",C5/B5)</f>
        <v>2.005</v>
      </c>
      <c r="F5" s="6" t="n">
        <f aca="false">IF(B5=0,"-",D5/B5)</f>
        <v>3.461</v>
      </c>
    </row>
    <row r="6" customFormat="false" ht="15" hidden="false" customHeight="false" outlineLevel="0" collapsed="false">
      <c r="A6" s="4" t="s">
        <v>9</v>
      </c>
      <c r="B6" s="5" t="n">
        <v>1</v>
      </c>
      <c r="C6" s="5" t="n">
        <v>1.602</v>
      </c>
      <c r="D6" s="5" t="n">
        <v>2.434</v>
      </c>
      <c r="E6" s="6" t="n">
        <f aca="false">IF(B6=0,"-",C6/B6)</f>
        <v>1.602</v>
      </c>
      <c r="F6" s="6" t="n">
        <f aca="false">IF(B6=0,"-",D6/B6)</f>
        <v>2.434</v>
      </c>
    </row>
    <row r="7" customFormat="false" ht="15" hidden="false" customHeight="false" outlineLevel="0" collapsed="false">
      <c r="A7" s="4" t="s">
        <v>10</v>
      </c>
      <c r="B7" s="5" t="n">
        <v>1</v>
      </c>
      <c r="C7" s="5" t="n">
        <v>1.0207</v>
      </c>
      <c r="D7" s="5" t="n">
        <v>1.0579</v>
      </c>
      <c r="E7" s="6" t="n">
        <f aca="false">IF(B7=0,"-",C7/B7)</f>
        <v>1.0207</v>
      </c>
      <c r="F7" s="6" t="n">
        <f aca="false">IF(B7=0,"-",D7/B7)</f>
        <v>1.0579</v>
      </c>
    </row>
    <row r="8" customFormat="false" ht="15" hidden="false" customHeight="false" outlineLevel="0" collapsed="false">
      <c r="A8" s="4" t="s">
        <v>11</v>
      </c>
      <c r="B8" s="7" t="n">
        <v>1</v>
      </c>
      <c r="C8" s="7" t="n">
        <v>1.5</v>
      </c>
      <c r="D8" s="7" t="n">
        <v>2.2</v>
      </c>
      <c r="E8" s="6" t="n">
        <f aca="false">IF(B8=0,"-",C8/B8)</f>
        <v>1.5</v>
      </c>
      <c r="F8" s="6" t="n">
        <f aca="false">IF(B8=0,"-",D8/B8)</f>
        <v>2.2</v>
      </c>
    </row>
    <row r="9" customFormat="false" ht="15" hidden="false" customHeight="false" outlineLevel="0" collapsed="false">
      <c r="A9" s="4" t="s">
        <v>12</v>
      </c>
      <c r="B9" s="8" t="n">
        <v>0</v>
      </c>
      <c r="C9" s="8" t="n">
        <v>33</v>
      </c>
      <c r="D9" s="8" t="n">
        <v>63</v>
      </c>
      <c r="E9" s="9"/>
      <c r="F9" s="9"/>
    </row>
    <row r="10" customFormat="false" ht="15" hidden="false" customHeight="false" outlineLevel="0" collapsed="false">
      <c r="A10" s="4" t="s">
        <v>13</v>
      </c>
      <c r="B10" s="8" t="n">
        <v>0</v>
      </c>
      <c r="C10" s="8" t="n">
        <v>10</v>
      </c>
      <c r="D10" s="8" t="n">
        <v>20</v>
      </c>
      <c r="E10" s="9"/>
      <c r="F10" s="9"/>
    </row>
    <row r="12" customFormat="false" ht="16.4" hidden="false" customHeight="false" outlineLevel="0" collapsed="false">
      <c r="A12" s="10" t="s">
        <v>14</v>
      </c>
    </row>
    <row r="13" customFormat="false" ht="15" hidden="false" customHeight="false" outlineLevel="0" collapsed="false">
      <c r="A13" s="3" t="s">
        <v>2</v>
      </c>
      <c r="B13" s="3" t="s">
        <v>3</v>
      </c>
      <c r="C13" s="3" t="s">
        <v>4</v>
      </c>
      <c r="D13" s="3" t="s">
        <v>5</v>
      </c>
      <c r="E13" s="3" t="s">
        <v>6</v>
      </c>
      <c r="F13" s="3" t="s">
        <v>7</v>
      </c>
    </row>
    <row r="14" customFormat="false" ht="15" hidden="false" customHeight="false" outlineLevel="0" collapsed="false">
      <c r="A14" s="4" t="s">
        <v>15</v>
      </c>
      <c r="B14" s="11" t="n">
        <f aca="false">'보스 수치'!E33</f>
        <v>23511</v>
      </c>
      <c r="C14" s="11" t="n">
        <f aca="false">'보스 수치'!M33</f>
        <v>89635</v>
      </c>
      <c r="D14" s="11" t="n">
        <f aca="false">'보스 수치'!U33</f>
        <v>165318</v>
      </c>
      <c r="E14" s="12" t="n">
        <f aca="false">IF(B14=0,"-",C14/B14)</f>
        <v>3.81247075836842</v>
      </c>
      <c r="F14" s="12" t="n">
        <f aca="false">IF(B14=0,"-",D14/B14)</f>
        <v>7.03151716217941</v>
      </c>
    </row>
    <row r="15" customFormat="false" ht="15" hidden="false" customHeight="false" outlineLevel="0" collapsed="false">
      <c r="A15" s="4" t="s">
        <v>16</v>
      </c>
      <c r="B15" s="11" t="n">
        <f aca="false">'보스 수치'!F33</f>
        <v>1317</v>
      </c>
      <c r="C15" s="11" t="n">
        <f aca="false">'보스 수치'!N33</f>
        <v>1727</v>
      </c>
      <c r="D15" s="11" t="n">
        <f aca="false">'보스 수치'!V33</f>
        <v>2260</v>
      </c>
      <c r="E15" s="12" t="n">
        <f aca="false">IF(B15=0,"-",C15/B15)</f>
        <v>1.31131359149582</v>
      </c>
      <c r="F15" s="12" t="n">
        <f aca="false">IF(B15=0,"-",D15/B15)</f>
        <v>1.71602126044039</v>
      </c>
    </row>
    <row r="16" customFormat="false" ht="15" hidden="false" customHeight="false" outlineLevel="0" collapsed="false">
      <c r="A16" s="4" t="s">
        <v>17</v>
      </c>
      <c r="B16" s="11" t="n">
        <f aca="false">'보스 수치'!G33</f>
        <v>941</v>
      </c>
      <c r="C16" s="11" t="n">
        <f aca="false">'보스 수치'!O33</f>
        <v>1234</v>
      </c>
      <c r="D16" s="11" t="n">
        <f aca="false">'보스 수치'!W33</f>
        <v>1614</v>
      </c>
      <c r="E16" s="12" t="n">
        <f aca="false">IF(B16=0,"-",C16/B16)</f>
        <v>1.31137088204038</v>
      </c>
      <c r="F16" s="12" t="n">
        <f aca="false">IF(B16=0,"-",D16/B16)</f>
        <v>1.71519659936238</v>
      </c>
    </row>
    <row r="17" customFormat="false" ht="15" hidden="false" customHeight="false" outlineLevel="0" collapsed="false">
      <c r="A17" s="4" t="s">
        <v>18</v>
      </c>
      <c r="B17" s="11" t="n">
        <f aca="false">'보스 수치'!I33</f>
        <v>809</v>
      </c>
      <c r="C17" s="11" t="n">
        <f aca="false">'보스 수치'!Q33</f>
        <v>1295</v>
      </c>
      <c r="D17" s="11" t="n">
        <f aca="false">'보스 수치'!Y33</f>
        <v>1725</v>
      </c>
      <c r="E17" s="12" t="n">
        <f aca="false">IF(B17=0,"-",C17/B17)</f>
        <v>1.60074165636588</v>
      </c>
      <c r="F17" s="12" t="n">
        <f aca="false">IF(B17=0,"-",D17/B17)</f>
        <v>2.13226205191595</v>
      </c>
    </row>
    <row r="18" customFormat="false" ht="15" hidden="false" customHeight="false" outlineLevel="0" collapsed="false">
      <c r="A18" s="4" t="s">
        <v>19</v>
      </c>
      <c r="B18" s="13" t="n">
        <f aca="false">'보스 수치'!J33</f>
        <v>107.4</v>
      </c>
      <c r="C18" s="13" t="n">
        <f aca="false">'보스 수치'!R33</f>
        <v>416.9</v>
      </c>
      <c r="D18" s="13" t="n">
        <f aca="false">'보스 수치'!Z33</f>
        <v>791</v>
      </c>
      <c r="E18" s="12" t="n">
        <f aca="false">IF(B18=0,"-",C18/B18)</f>
        <v>3.88175046554935</v>
      </c>
      <c r="F18" s="12" t="n">
        <f aca="false">IF(B18=0,"-",D18/B18)</f>
        <v>7.36499068901304</v>
      </c>
    </row>
    <row r="19" customFormat="false" ht="15" hidden="false" customHeight="false" outlineLevel="0" collapsed="false">
      <c r="A19" s="4" t="s">
        <v>20</v>
      </c>
      <c r="B19" s="13" t="n">
        <f aca="false">'보스 수치'!K33</f>
        <v>51.2</v>
      </c>
      <c r="C19" s="13" t="n">
        <f aca="false">'보스 수치'!S33</f>
        <v>85.7</v>
      </c>
      <c r="D19" s="13" t="n">
        <f aca="false">'보스 수치'!AA33</f>
        <v>139.7</v>
      </c>
      <c r="E19" s="12" t="n">
        <f aca="false">IF(B19=0,"-",C19/B19)</f>
        <v>1.673828125</v>
      </c>
      <c r="F19" s="12" t="n">
        <f aca="false">IF(B19=0,"-",D19/B19)</f>
        <v>2.728515625</v>
      </c>
    </row>
    <row r="21" customFormat="false" ht="15" hidden="false" customHeight="false" outlineLevel="0" collapsed="false">
      <c r="A21" s="14" t="s">
        <v>21</v>
      </c>
    </row>
    <row r="22" customFormat="false" ht="15" hidden="false" customHeight="false" outlineLevel="0" collapsed="false">
      <c r="A22" s="15" t="s">
        <v>22</v>
      </c>
    </row>
    <row r="23" customFormat="false" ht="15" hidden="false" customHeight="false" outlineLevel="0" collapsed="false">
      <c r="A23" s="15" t="s">
        <v>23</v>
      </c>
    </row>
    <row r="24" customFormat="false" ht="15" hidden="false" customHeight="false" outlineLevel="0" collapsed="false">
      <c r="A24" s="15" t="s">
        <v>24</v>
      </c>
    </row>
    <row r="25" customFormat="false" ht="15" hidden="false" customHeight="false" outlineLevel="0" collapsed="false">
      <c r="A25" s="15" t="s">
        <v>25</v>
      </c>
    </row>
    <row r="26" customFormat="false" ht="15" hidden="false" customHeight="false" outlineLevel="0" collapsed="false">
      <c r="A26" s="15" t="s">
        <v>26</v>
      </c>
    </row>
    <row r="27" customFormat="false" ht="15" hidden="false" customHeight="false" outlineLevel="0" collapsed="false">
      <c r="A27" s="1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31" min="4" style="0" width="11"/>
  </cols>
  <sheetData>
    <row r="1" customFormat="false" ht="17.15" hidden="false" customHeight="false" outlineLevel="0" collapsed="false">
      <c r="A1" s="16" t="s">
        <v>28</v>
      </c>
    </row>
    <row r="2" customFormat="false" ht="15" hidden="false" customHeight="true" outlineLevel="0" collapsed="false">
      <c r="A2" s="3" t="s">
        <v>29</v>
      </c>
      <c r="B2" s="3" t="s">
        <v>30</v>
      </c>
      <c r="C2" s="3" t="s">
        <v>31</v>
      </c>
      <c r="D2" s="17" t="s">
        <v>3</v>
      </c>
      <c r="E2" s="17"/>
      <c r="F2" s="17"/>
      <c r="G2" s="17"/>
      <c r="H2" s="17"/>
      <c r="I2" s="17"/>
      <c r="J2" s="17"/>
      <c r="K2" s="17"/>
      <c r="L2" s="18" t="s">
        <v>4</v>
      </c>
      <c r="M2" s="18"/>
      <c r="N2" s="18"/>
      <c r="O2" s="18"/>
      <c r="P2" s="18"/>
      <c r="Q2" s="18"/>
      <c r="R2" s="18"/>
      <c r="S2" s="18"/>
      <c r="T2" s="19" t="s">
        <v>5</v>
      </c>
      <c r="U2" s="19"/>
      <c r="V2" s="19"/>
      <c r="W2" s="19"/>
      <c r="X2" s="19"/>
      <c r="Y2" s="19"/>
      <c r="Z2" s="19"/>
      <c r="AA2" s="19"/>
      <c r="AB2" s="20" t="s">
        <v>32</v>
      </c>
      <c r="AC2" s="20"/>
      <c r="AD2" s="20"/>
      <c r="AE2" s="20"/>
    </row>
    <row r="3" customFormat="false" ht="28.35" hidden="false" customHeight="false" outlineLevel="0" collapsed="false">
      <c r="A3" s="3"/>
      <c r="B3" s="3"/>
      <c r="C3" s="3"/>
      <c r="D3" s="21" t="s">
        <v>33</v>
      </c>
      <c r="E3" s="21" t="s">
        <v>15</v>
      </c>
      <c r="F3" s="21" t="s">
        <v>16</v>
      </c>
      <c r="G3" s="21" t="s">
        <v>17</v>
      </c>
      <c r="H3" s="21" t="s">
        <v>34</v>
      </c>
      <c r="I3" s="21" t="s">
        <v>18</v>
      </c>
      <c r="J3" s="21" t="s">
        <v>19</v>
      </c>
      <c r="K3" s="21" t="s">
        <v>35</v>
      </c>
      <c r="L3" s="22" t="s">
        <v>33</v>
      </c>
      <c r="M3" s="22" t="s">
        <v>15</v>
      </c>
      <c r="N3" s="22" t="s">
        <v>16</v>
      </c>
      <c r="O3" s="22" t="s">
        <v>17</v>
      </c>
      <c r="P3" s="22" t="s">
        <v>34</v>
      </c>
      <c r="Q3" s="22" t="s">
        <v>18</v>
      </c>
      <c r="R3" s="22" t="s">
        <v>19</v>
      </c>
      <c r="S3" s="22" t="s">
        <v>35</v>
      </c>
      <c r="T3" s="23" t="s">
        <v>33</v>
      </c>
      <c r="U3" s="23" t="s">
        <v>15</v>
      </c>
      <c r="V3" s="23" t="s">
        <v>16</v>
      </c>
      <c r="W3" s="23" t="s">
        <v>17</v>
      </c>
      <c r="X3" s="23" t="s">
        <v>34</v>
      </c>
      <c r="Y3" s="23" t="s">
        <v>18</v>
      </c>
      <c r="Z3" s="23" t="s">
        <v>19</v>
      </c>
      <c r="AA3" s="23" t="s">
        <v>35</v>
      </c>
      <c r="AB3" s="24" t="s">
        <v>36</v>
      </c>
      <c r="AC3" s="24" t="s">
        <v>37</v>
      </c>
      <c r="AD3" s="24" t="s">
        <v>38</v>
      </c>
      <c r="AE3" s="24" t="s">
        <v>39</v>
      </c>
    </row>
    <row r="4" customFormat="false" ht="15" hidden="false" customHeight="false" outlineLevel="0" collapsed="false">
      <c r="A4" s="4" t="n">
        <v>1</v>
      </c>
      <c r="B4" s="4" t="s">
        <v>40</v>
      </c>
      <c r="C4" s="4" t="s">
        <v>41</v>
      </c>
      <c r="D4" s="25" t="n">
        <v>2</v>
      </c>
      <c r="E4" s="26" t="n">
        <v>210</v>
      </c>
      <c r="F4" s="26" t="n">
        <v>23</v>
      </c>
      <c r="G4" s="26" t="n">
        <v>17</v>
      </c>
      <c r="H4" s="25" t="n">
        <v>108</v>
      </c>
      <c r="I4" s="26" t="n">
        <v>31</v>
      </c>
      <c r="J4" s="27" t="n">
        <v>10.5</v>
      </c>
      <c r="K4" s="27" t="n">
        <v>13.9</v>
      </c>
      <c r="L4" s="25" t="n">
        <v>34</v>
      </c>
      <c r="M4" s="26" t="n">
        <v>1530</v>
      </c>
      <c r="N4" s="26" t="n">
        <v>230</v>
      </c>
      <c r="O4" s="26" t="n">
        <v>164</v>
      </c>
      <c r="P4" s="25" t="n">
        <v>124</v>
      </c>
      <c r="Q4" s="26" t="n">
        <v>164</v>
      </c>
      <c r="R4" s="27" t="n">
        <v>11.7</v>
      </c>
      <c r="S4" s="27" t="n">
        <v>10.8</v>
      </c>
      <c r="T4" s="25" t="n">
        <v>64</v>
      </c>
      <c r="U4" s="26" t="n">
        <v>3259</v>
      </c>
      <c r="V4" s="26" t="n">
        <v>447</v>
      </c>
      <c r="W4" s="26" t="n">
        <v>319</v>
      </c>
      <c r="X4" s="25" t="n">
        <v>139</v>
      </c>
      <c r="Y4" s="26" t="n">
        <v>284</v>
      </c>
      <c r="Z4" s="27" t="n">
        <v>18.4</v>
      </c>
      <c r="AA4" s="27" t="n">
        <v>9.1</v>
      </c>
      <c r="AB4" s="28" t="n">
        <f aca="false">IF(E4=0,"-",M4/E4)</f>
        <v>7.28571428571429</v>
      </c>
      <c r="AC4" s="28" t="n">
        <f aca="false">IF(E4=0,"-",U4/E4)</f>
        <v>15.5190476190476</v>
      </c>
      <c r="AD4" s="28" t="n">
        <f aca="false">IF(F4=0,"-",N4/F4)</f>
        <v>10</v>
      </c>
      <c r="AE4" s="28" t="n">
        <f aca="false">IF(F4=0,"-",V4/F4)</f>
        <v>19.4347826086957</v>
      </c>
    </row>
    <row r="5" customFormat="false" ht="15" hidden="false" customHeight="false" outlineLevel="0" collapsed="false">
      <c r="A5" s="4" t="n">
        <v>2</v>
      </c>
      <c r="B5" s="4" t="s">
        <v>42</v>
      </c>
      <c r="C5" s="4" t="s">
        <v>43</v>
      </c>
      <c r="D5" s="25" t="n">
        <v>5</v>
      </c>
      <c r="E5" s="26" t="n">
        <v>370</v>
      </c>
      <c r="F5" s="26" t="n">
        <v>47</v>
      </c>
      <c r="G5" s="26" t="n">
        <v>33</v>
      </c>
      <c r="H5" s="25" t="n">
        <v>102</v>
      </c>
      <c r="I5" s="26" t="n">
        <v>49</v>
      </c>
      <c r="J5" s="27" t="n">
        <v>7.6</v>
      </c>
      <c r="K5" s="27" t="n">
        <v>12.1</v>
      </c>
      <c r="L5" s="25" t="n">
        <v>35</v>
      </c>
      <c r="M5" s="26" t="n">
        <v>1846</v>
      </c>
      <c r="N5" s="26" t="n">
        <v>261</v>
      </c>
      <c r="O5" s="26" t="n">
        <v>186</v>
      </c>
      <c r="P5" s="25" t="n">
        <v>117</v>
      </c>
      <c r="Q5" s="26" t="n">
        <v>180</v>
      </c>
      <c r="R5" s="27" t="n">
        <v>13.2</v>
      </c>
      <c r="S5" s="27" t="n">
        <v>11.3</v>
      </c>
      <c r="T5" s="25" t="n">
        <v>64</v>
      </c>
      <c r="U5" s="26" t="n">
        <v>3829</v>
      </c>
      <c r="V5" s="26" t="n">
        <v>493</v>
      </c>
      <c r="W5" s="26" t="n">
        <v>352</v>
      </c>
      <c r="X5" s="25" t="n">
        <v>131</v>
      </c>
      <c r="Y5" s="26" t="n">
        <v>305</v>
      </c>
      <c r="Z5" s="27" t="n">
        <v>20.8</v>
      </c>
      <c r="AA5" s="27" t="n">
        <v>9.6</v>
      </c>
      <c r="AB5" s="28" t="n">
        <f aca="false">IF(E5=0,"-",M5/E5)</f>
        <v>4.98918918918919</v>
      </c>
      <c r="AC5" s="28" t="n">
        <f aca="false">IF(E5=0,"-",U5/E5)</f>
        <v>10.3486486486486</v>
      </c>
      <c r="AD5" s="28" t="n">
        <f aca="false">IF(F5=0,"-",N5/F5)</f>
        <v>5.5531914893617</v>
      </c>
      <c r="AE5" s="28" t="n">
        <f aca="false">IF(F5=0,"-",V5/F5)</f>
        <v>10.4893617021277</v>
      </c>
    </row>
    <row r="6" customFormat="false" ht="15" hidden="false" customHeight="false" outlineLevel="0" collapsed="false">
      <c r="A6" s="4" t="n">
        <v>3</v>
      </c>
      <c r="B6" s="4" t="s">
        <v>44</v>
      </c>
      <c r="C6" s="4" t="s">
        <v>45</v>
      </c>
      <c r="D6" s="25" t="n">
        <v>8</v>
      </c>
      <c r="E6" s="26" t="n">
        <v>390</v>
      </c>
      <c r="F6" s="26" t="n">
        <v>71</v>
      </c>
      <c r="G6" s="26" t="n">
        <v>51</v>
      </c>
      <c r="H6" s="25" t="n">
        <v>103</v>
      </c>
      <c r="I6" s="26" t="n">
        <v>62</v>
      </c>
      <c r="J6" s="27" t="n">
        <v>6.4</v>
      </c>
      <c r="K6" s="27" t="n">
        <v>15.7</v>
      </c>
      <c r="L6" s="25" t="n">
        <v>36</v>
      </c>
      <c r="M6" s="26" t="n">
        <v>1496</v>
      </c>
      <c r="N6" s="26" t="n">
        <v>284</v>
      </c>
      <c r="O6" s="26" t="n">
        <v>203</v>
      </c>
      <c r="P6" s="25" t="n">
        <v>117</v>
      </c>
      <c r="Q6" s="26" t="n">
        <v>178</v>
      </c>
      <c r="R6" s="27" t="n">
        <v>10.8</v>
      </c>
      <c r="S6" s="27" t="n">
        <v>14</v>
      </c>
      <c r="T6" s="25" t="n">
        <v>64</v>
      </c>
      <c r="U6" s="26" t="n">
        <v>3026</v>
      </c>
      <c r="V6" s="26" t="n">
        <v>522</v>
      </c>
      <c r="W6" s="26" t="n">
        <v>373</v>
      </c>
      <c r="X6" s="25" t="n">
        <v>131</v>
      </c>
      <c r="Y6" s="26" t="n">
        <v>296</v>
      </c>
      <c r="Z6" s="27" t="n">
        <v>16.4</v>
      </c>
      <c r="AA6" s="27" t="n">
        <v>11.6</v>
      </c>
      <c r="AB6" s="28" t="n">
        <f aca="false">IF(E6=0,"-",M6/E6)</f>
        <v>3.83589743589744</v>
      </c>
      <c r="AC6" s="28" t="n">
        <f aca="false">IF(E6=0,"-",U6/E6)</f>
        <v>7.75897435897436</v>
      </c>
      <c r="AD6" s="28" t="n">
        <f aca="false">IF(F6=0,"-",N6/F6)</f>
        <v>4</v>
      </c>
      <c r="AE6" s="28" t="n">
        <f aca="false">IF(F6=0,"-",V6/F6)</f>
        <v>7.35211267605634</v>
      </c>
    </row>
    <row r="7" customFormat="false" ht="15" hidden="false" customHeight="false" outlineLevel="0" collapsed="false">
      <c r="A7" s="4" t="n">
        <v>4</v>
      </c>
      <c r="B7" s="4" t="s">
        <v>46</v>
      </c>
      <c r="C7" s="4" t="s">
        <v>47</v>
      </c>
      <c r="D7" s="25" t="n">
        <v>11</v>
      </c>
      <c r="E7" s="26" t="n">
        <v>775</v>
      </c>
      <c r="F7" s="26" t="n">
        <v>103</v>
      </c>
      <c r="G7" s="26" t="n">
        <v>73</v>
      </c>
      <c r="H7" s="25" t="n">
        <v>105</v>
      </c>
      <c r="I7" s="26" t="n">
        <v>89</v>
      </c>
      <c r="J7" s="27" t="n">
        <v>10.8</v>
      </c>
      <c r="K7" s="27" t="n">
        <v>21</v>
      </c>
      <c r="L7" s="25" t="n">
        <v>37</v>
      </c>
      <c r="M7" s="26" t="n">
        <v>2029</v>
      </c>
      <c r="N7" s="26" t="n">
        <v>312</v>
      </c>
      <c r="O7" s="26" t="n">
        <v>223</v>
      </c>
      <c r="P7" s="25" t="n">
        <v>118</v>
      </c>
      <c r="Q7" s="26" t="n">
        <v>202</v>
      </c>
      <c r="R7" s="27" t="n">
        <v>13.9</v>
      </c>
      <c r="S7" s="27" t="n">
        <v>16.1</v>
      </c>
      <c r="T7" s="25" t="n">
        <v>64</v>
      </c>
      <c r="U7" s="26" t="n">
        <v>4004</v>
      </c>
      <c r="V7" s="26" t="n">
        <v>560</v>
      </c>
      <c r="W7" s="26" t="n">
        <v>400</v>
      </c>
      <c r="X7" s="25" t="n">
        <v>131</v>
      </c>
      <c r="Y7" s="26" t="n">
        <v>329</v>
      </c>
      <c r="Z7" s="27" t="n">
        <v>21.8</v>
      </c>
      <c r="AA7" s="27" t="n">
        <v>14.3</v>
      </c>
      <c r="AB7" s="28" t="n">
        <f aca="false">IF(E7=0,"-",M7/E7)</f>
        <v>2.61806451612903</v>
      </c>
      <c r="AC7" s="28" t="n">
        <f aca="false">IF(E7=0,"-",U7/E7)</f>
        <v>5.16645161290323</v>
      </c>
      <c r="AD7" s="28" t="n">
        <f aca="false">IF(F7=0,"-",N7/F7)</f>
        <v>3.02912621359223</v>
      </c>
      <c r="AE7" s="28" t="n">
        <f aca="false">IF(F7=0,"-",V7/F7)</f>
        <v>5.4368932038835</v>
      </c>
    </row>
    <row r="8" customFormat="false" ht="15" hidden="false" customHeight="false" outlineLevel="0" collapsed="false">
      <c r="A8" s="4" t="n">
        <v>5</v>
      </c>
      <c r="B8" s="4" t="s">
        <v>48</v>
      </c>
      <c r="C8" s="4" t="s">
        <v>49</v>
      </c>
      <c r="D8" s="25" t="n">
        <v>14</v>
      </c>
      <c r="E8" s="26" t="n">
        <v>1307</v>
      </c>
      <c r="F8" s="26" t="n">
        <v>181</v>
      </c>
      <c r="G8" s="26" t="n">
        <v>130</v>
      </c>
      <c r="H8" s="25" t="n">
        <v>106</v>
      </c>
      <c r="I8" s="26" t="n">
        <v>134</v>
      </c>
      <c r="J8" s="27" t="n">
        <v>16.1</v>
      </c>
      <c r="K8" s="27" t="n">
        <v>46.2</v>
      </c>
      <c r="L8" s="25" t="n">
        <v>38</v>
      </c>
      <c r="M8" s="26" t="n">
        <v>2411</v>
      </c>
      <c r="N8" s="26" t="n">
        <v>435</v>
      </c>
      <c r="O8" s="26" t="n">
        <v>310</v>
      </c>
      <c r="P8" s="25" t="n">
        <v>118</v>
      </c>
      <c r="Q8" s="26" t="n">
        <v>249</v>
      </c>
      <c r="R8" s="27" t="n">
        <v>16.6</v>
      </c>
      <c r="S8" s="27" t="n">
        <v>32.7</v>
      </c>
      <c r="T8" s="25" t="n">
        <v>64</v>
      </c>
      <c r="U8" s="26" t="n">
        <v>4174</v>
      </c>
      <c r="V8" s="26" t="n">
        <v>734</v>
      </c>
      <c r="W8" s="26" t="n">
        <v>524</v>
      </c>
      <c r="X8" s="25" t="n">
        <v>131</v>
      </c>
      <c r="Y8" s="26" t="n">
        <v>381</v>
      </c>
      <c r="Z8" s="27" t="n">
        <v>22.6</v>
      </c>
      <c r="AA8" s="27" t="n">
        <v>26.4</v>
      </c>
      <c r="AB8" s="28" t="n">
        <f aca="false">IF(E8=0,"-",M8/E8)</f>
        <v>1.84468247895945</v>
      </c>
      <c r="AC8" s="28" t="n">
        <f aca="false">IF(E8=0,"-",U8/E8)</f>
        <v>3.19357306809487</v>
      </c>
      <c r="AD8" s="28" t="n">
        <f aca="false">IF(F8=0,"-",N8/F8)</f>
        <v>2.40331491712707</v>
      </c>
      <c r="AE8" s="28" t="n">
        <f aca="false">IF(F8=0,"-",V8/F8)</f>
        <v>4.05524861878453</v>
      </c>
    </row>
    <row r="9" customFormat="false" ht="15" hidden="false" customHeight="false" outlineLevel="0" collapsed="false">
      <c r="A9" s="4" t="n">
        <v>6</v>
      </c>
      <c r="B9" s="4" t="s">
        <v>50</v>
      </c>
      <c r="C9" s="4" t="s">
        <v>51</v>
      </c>
      <c r="D9" s="25" t="n">
        <v>17</v>
      </c>
      <c r="E9" s="26" t="n">
        <v>922</v>
      </c>
      <c r="F9" s="26" t="n">
        <v>157</v>
      </c>
      <c r="G9" s="26" t="n">
        <v>112</v>
      </c>
      <c r="H9" s="25" t="n">
        <v>108</v>
      </c>
      <c r="I9" s="26" t="n">
        <v>115</v>
      </c>
      <c r="J9" s="27" t="n">
        <v>10.2</v>
      </c>
      <c r="K9" s="27" t="n">
        <v>22.9</v>
      </c>
      <c r="L9" s="25" t="n">
        <v>40</v>
      </c>
      <c r="M9" s="26" t="n">
        <v>1527</v>
      </c>
      <c r="N9" s="26" t="n">
        <v>334</v>
      </c>
      <c r="O9" s="26" t="n">
        <v>238</v>
      </c>
      <c r="P9" s="25" t="n">
        <v>119</v>
      </c>
      <c r="Q9" s="26" t="n">
        <v>195</v>
      </c>
      <c r="R9" s="27" t="n">
        <v>10.2</v>
      </c>
      <c r="S9" s="27" t="n">
        <v>15.6</v>
      </c>
      <c r="T9" s="25" t="n">
        <v>64</v>
      </c>
      <c r="U9" s="26" t="n">
        <v>2524</v>
      </c>
      <c r="V9" s="26" t="n">
        <v>535</v>
      </c>
      <c r="W9" s="26" t="n">
        <v>382</v>
      </c>
      <c r="X9" s="25" t="n">
        <v>131</v>
      </c>
      <c r="Y9" s="26" t="n">
        <v>287</v>
      </c>
      <c r="Z9" s="27" t="n">
        <v>13.6</v>
      </c>
      <c r="AA9" s="27" t="n">
        <v>13.2</v>
      </c>
      <c r="AB9" s="28" t="n">
        <f aca="false">IF(E9=0,"-",M9/E9)</f>
        <v>1.65618221258134</v>
      </c>
      <c r="AC9" s="28" t="n">
        <f aca="false">IF(E9=0,"-",U9/E9)</f>
        <v>2.73752711496746</v>
      </c>
      <c r="AD9" s="28" t="n">
        <f aca="false">IF(F9=0,"-",N9/F9)</f>
        <v>2.12738853503185</v>
      </c>
      <c r="AE9" s="28" t="n">
        <f aca="false">IF(F9=0,"-",V9/F9)</f>
        <v>3.40764331210191</v>
      </c>
    </row>
    <row r="10" customFormat="false" ht="15" hidden="false" customHeight="false" outlineLevel="0" collapsed="false">
      <c r="A10" s="4" t="n">
        <v>7</v>
      </c>
      <c r="B10" s="4" t="s">
        <v>52</v>
      </c>
      <c r="C10" s="4" t="s">
        <v>53</v>
      </c>
      <c r="D10" s="25" t="n">
        <v>21</v>
      </c>
      <c r="E10" s="26" t="n">
        <v>2289</v>
      </c>
      <c r="F10" s="26" t="n">
        <v>351</v>
      </c>
      <c r="G10" s="26" t="n">
        <v>251</v>
      </c>
      <c r="H10" s="25" t="n">
        <v>110</v>
      </c>
      <c r="I10" s="26" t="n">
        <v>217</v>
      </c>
      <c r="J10" s="27" t="n">
        <v>21.2</v>
      </c>
      <c r="K10" s="27" t="n">
        <v>69.1</v>
      </c>
      <c r="L10" s="25" t="n">
        <v>42</v>
      </c>
      <c r="M10" s="26" t="n">
        <v>10258</v>
      </c>
      <c r="N10" s="26" t="n">
        <v>872</v>
      </c>
      <c r="O10" s="26" t="n">
        <v>623</v>
      </c>
      <c r="P10" s="25" t="n">
        <v>120</v>
      </c>
      <c r="Q10" s="26" t="n">
        <v>509</v>
      </c>
      <c r="R10" s="27" t="n">
        <v>65.8</v>
      </c>
      <c r="S10" s="27" t="n">
        <v>92.7</v>
      </c>
      <c r="T10" s="25" t="n">
        <v>65</v>
      </c>
      <c r="U10" s="26" t="n">
        <v>24593</v>
      </c>
      <c r="V10" s="26" t="n">
        <v>1598</v>
      </c>
      <c r="W10" s="26" t="n">
        <v>1142</v>
      </c>
      <c r="X10" s="25" t="n">
        <v>132</v>
      </c>
      <c r="Y10" s="26" t="n">
        <v>877</v>
      </c>
      <c r="Z10" s="27" t="n">
        <v>136.6</v>
      </c>
      <c r="AA10" s="27" t="n">
        <v>111.5</v>
      </c>
      <c r="AB10" s="28" t="n">
        <f aca="false">IF(E10=0,"-",M10/E10)</f>
        <v>4.48143294014854</v>
      </c>
      <c r="AC10" s="28" t="n">
        <f aca="false">IF(E10=0,"-",U10/E10)</f>
        <v>10.7439930100481</v>
      </c>
      <c r="AD10" s="28" t="n">
        <f aca="false">IF(F10=0,"-",N10/F10)</f>
        <v>2.48433048433048</v>
      </c>
      <c r="AE10" s="28" t="n">
        <f aca="false">IF(F10=0,"-",V10/F10)</f>
        <v>4.55270655270655</v>
      </c>
    </row>
    <row r="11" customFormat="false" ht="15" hidden="false" customHeight="false" outlineLevel="0" collapsed="false">
      <c r="A11" s="4" t="n">
        <v>8</v>
      </c>
      <c r="B11" s="4" t="s">
        <v>54</v>
      </c>
      <c r="C11" s="4" t="s">
        <v>55</v>
      </c>
      <c r="D11" s="25" t="n">
        <v>23</v>
      </c>
      <c r="E11" s="26" t="n">
        <v>2390</v>
      </c>
      <c r="F11" s="26" t="n">
        <v>445</v>
      </c>
      <c r="G11" s="26" t="n">
        <v>318</v>
      </c>
      <c r="H11" s="25" t="n">
        <v>111</v>
      </c>
      <c r="I11" s="26" t="n">
        <v>248</v>
      </c>
      <c r="J11" s="27" t="n">
        <v>20.4</v>
      </c>
      <c r="K11" s="27" t="n">
        <v>89.3</v>
      </c>
      <c r="L11" s="25" t="n">
        <v>43</v>
      </c>
      <c r="M11" s="26" t="n">
        <v>10311</v>
      </c>
      <c r="N11" s="26" t="n">
        <v>1048</v>
      </c>
      <c r="O11" s="26" t="n">
        <v>749</v>
      </c>
      <c r="P11" s="25" t="n">
        <v>121</v>
      </c>
      <c r="Q11" s="26" t="n">
        <v>559</v>
      </c>
      <c r="R11" s="27" t="n">
        <v>63.3</v>
      </c>
      <c r="S11" s="27" t="n">
        <v>120</v>
      </c>
      <c r="T11" s="25" t="n">
        <v>65</v>
      </c>
      <c r="U11" s="26" t="n">
        <v>24418</v>
      </c>
      <c r="V11" s="26" t="n">
        <v>1887</v>
      </c>
      <c r="W11" s="26" t="n">
        <v>1348</v>
      </c>
      <c r="X11" s="25" t="n">
        <v>132</v>
      </c>
      <c r="Y11" s="26" t="n">
        <v>951</v>
      </c>
      <c r="Z11" s="27" t="n">
        <v>130.6</v>
      </c>
      <c r="AA11" s="27" t="n">
        <v>145.9</v>
      </c>
      <c r="AB11" s="28" t="n">
        <f aca="false">IF(E11=0,"-",M11/E11)</f>
        <v>4.31422594142259</v>
      </c>
      <c r="AC11" s="28" t="n">
        <f aca="false">IF(E11=0,"-",U11/E11)</f>
        <v>10.2167364016736</v>
      </c>
      <c r="AD11" s="28" t="n">
        <f aca="false">IF(F11=0,"-",N11/F11)</f>
        <v>2.35505617977528</v>
      </c>
      <c r="AE11" s="28" t="n">
        <f aca="false">IF(F11=0,"-",V11/F11)</f>
        <v>4.24044943820225</v>
      </c>
    </row>
    <row r="12" customFormat="false" ht="15" hidden="false" customHeight="false" outlineLevel="0" collapsed="false">
      <c r="A12" s="4" t="n">
        <v>9</v>
      </c>
      <c r="B12" s="4" t="s">
        <v>56</v>
      </c>
      <c r="C12" s="4" t="s">
        <v>57</v>
      </c>
      <c r="D12" s="25" t="n">
        <v>26</v>
      </c>
      <c r="E12" s="26" t="n">
        <v>3941</v>
      </c>
      <c r="F12" s="26" t="n">
        <v>501</v>
      </c>
      <c r="G12" s="26" t="n">
        <v>358</v>
      </c>
      <c r="H12" s="25" t="n">
        <v>112</v>
      </c>
      <c r="I12" s="26" t="n">
        <v>298</v>
      </c>
      <c r="J12" s="27" t="n">
        <v>32</v>
      </c>
      <c r="K12" s="27" t="n">
        <v>133.8</v>
      </c>
      <c r="L12" s="25" t="n">
        <v>45</v>
      </c>
      <c r="M12" s="26" t="n">
        <v>16235</v>
      </c>
      <c r="N12" s="26" t="n">
        <v>1107</v>
      </c>
      <c r="O12" s="26" t="n">
        <v>791</v>
      </c>
      <c r="P12" s="25" t="n">
        <v>122</v>
      </c>
      <c r="Q12" s="26" t="n">
        <v>645</v>
      </c>
      <c r="R12" s="27" t="n">
        <v>102.1</v>
      </c>
      <c r="S12" s="27" t="n">
        <v>192.2</v>
      </c>
      <c r="T12" s="25" t="n">
        <v>67</v>
      </c>
      <c r="U12" s="26" t="n">
        <v>38283</v>
      </c>
      <c r="V12" s="26" t="n">
        <v>1975</v>
      </c>
      <c r="W12" s="26" t="n">
        <v>1411</v>
      </c>
      <c r="X12" s="25" t="n">
        <v>133</v>
      </c>
      <c r="Y12" s="26" t="n">
        <v>1091</v>
      </c>
      <c r="Z12" s="27" t="n">
        <v>209.2</v>
      </c>
      <c r="AA12" s="27" t="n">
        <v>232.4</v>
      </c>
      <c r="AB12" s="28" t="n">
        <f aca="false">IF(E12=0,"-",M12/E12)</f>
        <v>4.1195128140066</v>
      </c>
      <c r="AC12" s="28" t="n">
        <f aca="false">IF(E12=0,"-",U12/E12)</f>
        <v>9.71403197158082</v>
      </c>
      <c r="AD12" s="28" t="n">
        <f aca="false">IF(F12=0,"-",N12/F12)</f>
        <v>2.20958083832335</v>
      </c>
      <c r="AE12" s="28" t="n">
        <f aca="false">IF(F12=0,"-",V12/F12)</f>
        <v>3.94211576846307</v>
      </c>
    </row>
    <row r="13" customFormat="false" ht="15" hidden="false" customHeight="false" outlineLevel="0" collapsed="false">
      <c r="A13" s="4" t="n">
        <v>10</v>
      </c>
      <c r="B13" s="4" t="s">
        <v>58</v>
      </c>
      <c r="C13" s="4" t="s">
        <v>59</v>
      </c>
      <c r="D13" s="25" t="n">
        <v>27</v>
      </c>
      <c r="E13" s="26" t="n">
        <v>4420</v>
      </c>
      <c r="F13" s="26" t="n">
        <v>605</v>
      </c>
      <c r="G13" s="26" t="n">
        <v>432</v>
      </c>
      <c r="H13" s="25" t="n">
        <v>113</v>
      </c>
      <c r="I13" s="26" t="n">
        <v>338</v>
      </c>
      <c r="J13" s="27" t="n">
        <v>33.5</v>
      </c>
      <c r="K13" s="27" t="n">
        <v>111.9</v>
      </c>
      <c r="L13" s="25" t="n">
        <v>45</v>
      </c>
      <c r="M13" s="26" t="n">
        <v>17922</v>
      </c>
      <c r="N13" s="26" t="n">
        <v>1299</v>
      </c>
      <c r="O13" s="26" t="n">
        <v>928</v>
      </c>
      <c r="P13" s="25" t="n">
        <v>122</v>
      </c>
      <c r="Q13" s="26" t="n">
        <v>716</v>
      </c>
      <c r="R13" s="27" t="n">
        <v>106.7</v>
      </c>
      <c r="S13" s="27" t="n">
        <v>162.9</v>
      </c>
      <c r="T13" s="25" t="n">
        <v>66</v>
      </c>
      <c r="U13" s="26" t="n">
        <v>42020</v>
      </c>
      <c r="V13" s="26" t="n">
        <v>2294</v>
      </c>
      <c r="W13" s="26" t="n">
        <v>1639</v>
      </c>
      <c r="X13" s="25" t="n">
        <v>132</v>
      </c>
      <c r="Y13" s="26" t="n">
        <v>1202</v>
      </c>
      <c r="Z13" s="27" t="n">
        <v>220</v>
      </c>
      <c r="AA13" s="27" t="n">
        <v>199.3</v>
      </c>
      <c r="AB13" s="28" t="n">
        <f aca="false">IF(E13=0,"-",M13/E13)</f>
        <v>4.05475113122172</v>
      </c>
      <c r="AC13" s="28" t="n">
        <f aca="false">IF(E13=0,"-",U13/E13)</f>
        <v>9.50678733031674</v>
      </c>
      <c r="AD13" s="28" t="n">
        <f aca="false">IF(F13=0,"-",N13/F13)</f>
        <v>2.14710743801653</v>
      </c>
      <c r="AE13" s="28" t="n">
        <f aca="false">IF(F13=0,"-",V13/F13)</f>
        <v>3.79173553719008</v>
      </c>
    </row>
    <row r="14" customFormat="false" ht="15" hidden="false" customHeight="false" outlineLevel="0" collapsed="false">
      <c r="A14" s="4" t="n">
        <v>11</v>
      </c>
      <c r="B14" s="4" t="s">
        <v>60</v>
      </c>
      <c r="C14" s="4" t="s">
        <v>61</v>
      </c>
      <c r="D14" s="25" t="n">
        <v>29</v>
      </c>
      <c r="E14" s="26" t="n">
        <v>3605</v>
      </c>
      <c r="F14" s="26" t="n">
        <v>605</v>
      </c>
      <c r="G14" s="26" t="n">
        <v>432</v>
      </c>
      <c r="H14" s="25" t="n">
        <v>114</v>
      </c>
      <c r="I14" s="26" t="n">
        <v>322</v>
      </c>
      <c r="J14" s="27" t="n">
        <v>25.8</v>
      </c>
      <c r="K14" s="27" t="n">
        <v>93.7</v>
      </c>
      <c r="L14" s="25" t="n">
        <v>46</v>
      </c>
      <c r="M14" s="26" t="n">
        <v>14245</v>
      </c>
      <c r="N14" s="26" t="n">
        <v>1248</v>
      </c>
      <c r="O14" s="26" t="n">
        <v>891</v>
      </c>
      <c r="P14" s="25" t="n">
        <v>122</v>
      </c>
      <c r="Q14" s="26" t="n">
        <v>663</v>
      </c>
      <c r="R14" s="27" t="n">
        <v>85.8</v>
      </c>
      <c r="S14" s="27" t="n">
        <v>147.2</v>
      </c>
      <c r="T14" s="25" t="n">
        <v>66</v>
      </c>
      <c r="U14" s="26" t="n">
        <v>32996</v>
      </c>
      <c r="V14" s="26" t="n">
        <v>2166</v>
      </c>
      <c r="W14" s="26" t="n">
        <v>1547</v>
      </c>
      <c r="X14" s="25" t="n">
        <v>132</v>
      </c>
      <c r="Y14" s="26" t="n">
        <v>1099</v>
      </c>
      <c r="Z14" s="27" t="n">
        <v>172.8</v>
      </c>
      <c r="AA14" s="27" t="n">
        <v>177.6</v>
      </c>
      <c r="AB14" s="28" t="n">
        <f aca="false">IF(E14=0,"-",M14/E14)</f>
        <v>3.95145631067961</v>
      </c>
      <c r="AC14" s="28" t="n">
        <f aca="false">IF(E14=0,"-",U14/E14)</f>
        <v>9.15284327323162</v>
      </c>
      <c r="AD14" s="28" t="n">
        <f aca="false">IF(F14=0,"-",N14/F14)</f>
        <v>2.06280991735537</v>
      </c>
      <c r="AE14" s="28" t="n">
        <f aca="false">IF(F14=0,"-",V14/F14)</f>
        <v>3.5801652892562</v>
      </c>
    </row>
    <row r="15" customFormat="false" ht="15" hidden="false" customHeight="false" outlineLevel="0" collapsed="false">
      <c r="A15" s="4" t="n">
        <v>12</v>
      </c>
      <c r="B15" s="4" t="s">
        <v>62</v>
      </c>
      <c r="C15" s="4" t="s">
        <v>63</v>
      </c>
      <c r="D15" s="25" t="n">
        <v>31</v>
      </c>
      <c r="E15" s="26" t="n">
        <v>4843</v>
      </c>
      <c r="F15" s="26" t="n">
        <v>679</v>
      </c>
      <c r="G15" s="26" t="n">
        <v>485</v>
      </c>
      <c r="H15" s="25" t="n">
        <v>115</v>
      </c>
      <c r="I15" s="26" t="n">
        <v>368</v>
      </c>
      <c r="J15" s="27" t="n">
        <v>32.9</v>
      </c>
      <c r="K15" s="27" t="n">
        <v>100</v>
      </c>
      <c r="L15" s="25" t="n">
        <v>47</v>
      </c>
      <c r="M15" s="26" t="n">
        <v>17692</v>
      </c>
      <c r="N15" s="26" t="n">
        <v>1334</v>
      </c>
      <c r="O15" s="26" t="n">
        <v>953</v>
      </c>
      <c r="P15" s="25" t="n">
        <v>123</v>
      </c>
      <c r="Q15" s="26" t="n">
        <v>725</v>
      </c>
      <c r="R15" s="27" t="n">
        <v>102.3</v>
      </c>
      <c r="S15" s="27" t="n">
        <v>152.8</v>
      </c>
      <c r="T15" s="25" t="n">
        <v>66</v>
      </c>
      <c r="U15" s="26" t="n">
        <v>40490</v>
      </c>
      <c r="V15" s="26" t="n">
        <v>2279</v>
      </c>
      <c r="W15" s="26" t="n">
        <v>1628</v>
      </c>
      <c r="X15" s="25" t="n">
        <v>132</v>
      </c>
      <c r="Y15" s="26" t="n">
        <v>1187</v>
      </c>
      <c r="Z15" s="27" t="n">
        <v>212</v>
      </c>
      <c r="AA15" s="27" t="n">
        <v>196.3</v>
      </c>
      <c r="AB15" s="28" t="n">
        <f aca="false">IF(E15=0,"-",M15/E15)</f>
        <v>3.65310757794755</v>
      </c>
      <c r="AC15" s="28" t="n">
        <f aca="false">IF(E15=0,"-",U15/E15)</f>
        <v>8.36052033863308</v>
      </c>
      <c r="AD15" s="28" t="n">
        <f aca="false">IF(F15=0,"-",N15/F15)</f>
        <v>1.96465390279823</v>
      </c>
      <c r="AE15" s="28" t="n">
        <f aca="false">IF(F15=0,"-",V15/F15)</f>
        <v>3.35640648011782</v>
      </c>
    </row>
    <row r="16" customFormat="false" ht="15" hidden="false" customHeight="false" outlineLevel="0" collapsed="false">
      <c r="A16" s="4" t="n">
        <v>13</v>
      </c>
      <c r="B16" s="4" t="s">
        <v>64</v>
      </c>
      <c r="C16" s="4" t="s">
        <v>65</v>
      </c>
      <c r="D16" s="25" t="n">
        <v>33</v>
      </c>
      <c r="E16" s="26" t="n">
        <v>7968</v>
      </c>
      <c r="F16" s="26" t="n">
        <v>796</v>
      </c>
      <c r="G16" s="26" t="n">
        <v>568</v>
      </c>
      <c r="H16" s="25" t="n">
        <v>116</v>
      </c>
      <c r="I16" s="26" t="n">
        <v>452</v>
      </c>
      <c r="J16" s="27" t="n">
        <v>48.9</v>
      </c>
      <c r="K16" s="27" t="n">
        <v>114.7</v>
      </c>
      <c r="L16" s="25" t="n">
        <v>48</v>
      </c>
      <c r="M16" s="26" t="n">
        <v>28529</v>
      </c>
      <c r="N16" s="26" t="n">
        <v>1515</v>
      </c>
      <c r="O16" s="26" t="n">
        <v>1082</v>
      </c>
      <c r="P16" s="25" t="n">
        <v>123</v>
      </c>
      <c r="Q16" s="26" t="n">
        <v>871</v>
      </c>
      <c r="R16" s="27" t="n">
        <v>151.8</v>
      </c>
      <c r="S16" s="27" t="n">
        <v>178</v>
      </c>
      <c r="T16" s="25" t="n">
        <v>66</v>
      </c>
      <c r="U16" s="26" t="n">
        <v>64518</v>
      </c>
      <c r="V16" s="26" t="n">
        <v>2546</v>
      </c>
      <c r="W16" s="26" t="n">
        <v>1819</v>
      </c>
      <c r="X16" s="25" t="n">
        <v>132</v>
      </c>
      <c r="Y16" s="26" t="n">
        <v>1409</v>
      </c>
      <c r="Z16" s="27" t="n">
        <v>325.8</v>
      </c>
      <c r="AA16" s="27" t="n">
        <v>246.2</v>
      </c>
      <c r="AB16" s="28" t="n">
        <f aca="false">IF(E16=0,"-",M16/E16)</f>
        <v>3.58044678714859</v>
      </c>
      <c r="AC16" s="28" t="n">
        <f aca="false">IF(E16=0,"-",U16/E16)</f>
        <v>8.09713855421687</v>
      </c>
      <c r="AD16" s="28" t="n">
        <f aca="false">IF(F16=0,"-",N16/F16)</f>
        <v>1.90326633165829</v>
      </c>
      <c r="AE16" s="28" t="n">
        <f aca="false">IF(F16=0,"-",V16/F16)</f>
        <v>3.19849246231156</v>
      </c>
    </row>
    <row r="17" customFormat="false" ht="15" hidden="false" customHeight="false" outlineLevel="0" collapsed="false">
      <c r="A17" s="4" t="n">
        <v>14</v>
      </c>
      <c r="B17" s="4" t="s">
        <v>66</v>
      </c>
      <c r="C17" s="4" t="s">
        <v>67</v>
      </c>
      <c r="D17" s="25" t="n">
        <v>35</v>
      </c>
      <c r="E17" s="26" t="n">
        <v>5648</v>
      </c>
      <c r="F17" s="26" t="n">
        <v>679</v>
      </c>
      <c r="G17" s="26" t="n">
        <v>485</v>
      </c>
      <c r="H17" s="25" t="n">
        <v>117</v>
      </c>
      <c r="I17" s="26" t="n">
        <v>384</v>
      </c>
      <c r="J17" s="27" t="n">
        <v>35.5</v>
      </c>
      <c r="K17" s="27" t="n">
        <v>74.2</v>
      </c>
      <c r="L17" s="25" t="n">
        <v>49</v>
      </c>
      <c r="M17" s="26" t="n">
        <v>21013</v>
      </c>
      <c r="N17" s="26" t="n">
        <v>1272</v>
      </c>
      <c r="O17" s="26" t="n">
        <v>908</v>
      </c>
      <c r="P17" s="25" t="n">
        <v>124</v>
      </c>
      <c r="Q17" s="26" t="n">
        <v>741</v>
      </c>
      <c r="R17" s="27" t="n">
        <v>118.1</v>
      </c>
      <c r="S17" s="27" t="n">
        <v>123.7</v>
      </c>
      <c r="T17" s="25" t="n">
        <v>66</v>
      </c>
      <c r="U17" s="26" t="n">
        <v>46960</v>
      </c>
      <c r="V17" s="26" t="n">
        <v>2104</v>
      </c>
      <c r="W17" s="26" t="n">
        <v>1503</v>
      </c>
      <c r="X17" s="25" t="n">
        <v>132</v>
      </c>
      <c r="Y17" s="26" t="n">
        <v>1183</v>
      </c>
      <c r="Z17" s="27" t="n">
        <v>237.2</v>
      </c>
      <c r="AA17" s="27" t="n">
        <v>157.3</v>
      </c>
      <c r="AB17" s="28" t="n">
        <f aca="false">IF(E17=0,"-",M17/E17)</f>
        <v>3.72043201133145</v>
      </c>
      <c r="AC17" s="28" t="n">
        <f aca="false">IF(E17=0,"-",U17/E17)</f>
        <v>8.31444759206799</v>
      </c>
      <c r="AD17" s="28" t="n">
        <f aca="false">IF(F17=0,"-",N17/F17)</f>
        <v>1.87334315169367</v>
      </c>
      <c r="AE17" s="28" t="n">
        <f aca="false">IF(F17=0,"-",V17/F17)</f>
        <v>3.09867452135493</v>
      </c>
    </row>
    <row r="18" customFormat="false" ht="15" hidden="false" customHeight="false" outlineLevel="0" collapsed="false">
      <c r="A18" s="4" t="n">
        <v>15</v>
      </c>
      <c r="B18" s="4" t="s">
        <v>68</v>
      </c>
      <c r="C18" s="4" t="s">
        <v>69</v>
      </c>
      <c r="D18" s="25" t="n">
        <v>37</v>
      </c>
      <c r="E18" s="26" t="n">
        <v>4052</v>
      </c>
      <c r="F18" s="26" t="n">
        <v>709</v>
      </c>
      <c r="G18" s="26" t="n">
        <v>507</v>
      </c>
      <c r="H18" s="25" t="n">
        <v>118</v>
      </c>
      <c r="I18" s="26" t="n">
        <v>362</v>
      </c>
      <c r="J18" s="27" t="n">
        <v>24.6</v>
      </c>
      <c r="K18" s="27" t="n">
        <v>74.8</v>
      </c>
      <c r="L18" s="25" t="n">
        <v>50</v>
      </c>
      <c r="M18" s="26" t="n">
        <v>14839</v>
      </c>
      <c r="N18" s="26" t="n">
        <v>1290</v>
      </c>
      <c r="O18" s="26" t="n">
        <v>922</v>
      </c>
      <c r="P18" s="25" t="n">
        <v>124</v>
      </c>
      <c r="Q18" s="26" t="n">
        <v>684</v>
      </c>
      <c r="R18" s="27" t="n">
        <v>80.6</v>
      </c>
      <c r="S18" s="27" t="n">
        <v>124</v>
      </c>
      <c r="T18" s="25" t="n">
        <v>66</v>
      </c>
      <c r="U18" s="26" t="n">
        <v>32774</v>
      </c>
      <c r="V18" s="26" t="n">
        <v>2101</v>
      </c>
      <c r="W18" s="26" t="n">
        <v>1501</v>
      </c>
      <c r="X18" s="25" t="n">
        <v>132</v>
      </c>
      <c r="Y18" s="26" t="n">
        <v>1081</v>
      </c>
      <c r="Z18" s="27" t="n">
        <v>165.5</v>
      </c>
      <c r="AA18" s="27" t="n">
        <v>167.2</v>
      </c>
      <c r="AB18" s="28" t="n">
        <f aca="false">IF(E18=0,"-",M18/E18)</f>
        <v>3.66214215202369</v>
      </c>
      <c r="AC18" s="28" t="n">
        <f aca="false">IF(E18=0,"-",U18/E18)</f>
        <v>8.08835143139191</v>
      </c>
      <c r="AD18" s="28" t="n">
        <f aca="false">IF(F18=0,"-",N18/F18)</f>
        <v>1.81946403385049</v>
      </c>
      <c r="AE18" s="28" t="n">
        <f aca="false">IF(F18=0,"-",V18/F18)</f>
        <v>2.96332863187588</v>
      </c>
    </row>
    <row r="19" customFormat="false" ht="15" hidden="false" customHeight="false" outlineLevel="0" collapsed="false">
      <c r="A19" s="4" t="n">
        <v>16</v>
      </c>
      <c r="B19" s="4" t="s">
        <v>70</v>
      </c>
      <c r="C19" s="4" t="s">
        <v>71</v>
      </c>
      <c r="D19" s="25" t="n">
        <v>37</v>
      </c>
      <c r="E19" s="26" t="n">
        <v>5788</v>
      </c>
      <c r="F19" s="26" t="n">
        <v>649</v>
      </c>
      <c r="G19" s="26" t="n">
        <v>464</v>
      </c>
      <c r="H19" s="25" t="n">
        <v>118</v>
      </c>
      <c r="I19" s="26" t="n">
        <v>379</v>
      </c>
      <c r="J19" s="27" t="n">
        <v>31.5</v>
      </c>
      <c r="K19" s="27" t="n">
        <v>49.9</v>
      </c>
      <c r="L19" s="25" t="n">
        <v>50</v>
      </c>
      <c r="M19" s="26" t="n">
        <v>21526</v>
      </c>
      <c r="N19" s="26" t="n">
        <v>1188</v>
      </c>
      <c r="O19" s="26" t="n">
        <v>848</v>
      </c>
      <c r="P19" s="25" t="n">
        <v>124</v>
      </c>
      <c r="Q19" s="26" t="n">
        <v>720</v>
      </c>
      <c r="R19" s="27" t="n">
        <v>107.1</v>
      </c>
      <c r="S19" s="27" t="n">
        <v>86.3</v>
      </c>
      <c r="T19" s="25" t="n">
        <v>64</v>
      </c>
      <c r="U19" s="26" t="n">
        <v>46492</v>
      </c>
      <c r="V19" s="26" t="n">
        <v>1887</v>
      </c>
      <c r="W19" s="26" t="n">
        <v>1348</v>
      </c>
      <c r="X19" s="25" t="n">
        <v>131</v>
      </c>
      <c r="Y19" s="26" t="n">
        <v>1116</v>
      </c>
      <c r="Z19" s="27" t="n">
        <v>223.5</v>
      </c>
      <c r="AA19" s="27" t="n">
        <v>122.9</v>
      </c>
      <c r="AB19" s="28" t="n">
        <f aca="false">IF(E19=0,"-",M19/E19)</f>
        <v>3.71907394609537</v>
      </c>
      <c r="AC19" s="28" t="n">
        <f aca="false">IF(E19=0,"-",U19/E19)</f>
        <v>8.03248099516241</v>
      </c>
      <c r="AD19" s="28" t="n">
        <f aca="false">IF(F19=0,"-",N19/F19)</f>
        <v>1.83050847457627</v>
      </c>
      <c r="AE19" s="28" t="n">
        <f aca="false">IF(F19=0,"-",V19/F19)</f>
        <v>2.9075500770416</v>
      </c>
    </row>
    <row r="20" customFormat="false" ht="15" hidden="false" customHeight="false" outlineLevel="0" collapsed="false">
      <c r="A20" s="4" t="n">
        <v>17</v>
      </c>
      <c r="B20" s="4" t="s">
        <v>72</v>
      </c>
      <c r="C20" s="4" t="s">
        <v>73</v>
      </c>
      <c r="D20" s="25" t="n">
        <v>40</v>
      </c>
      <c r="E20" s="26" t="n">
        <v>7387</v>
      </c>
      <c r="F20" s="26" t="n">
        <v>792</v>
      </c>
      <c r="G20" s="26" t="n">
        <v>566</v>
      </c>
      <c r="H20" s="25" t="n">
        <v>119</v>
      </c>
      <c r="I20" s="26" t="n">
        <v>445</v>
      </c>
      <c r="J20" s="27" t="n">
        <v>39.3</v>
      </c>
      <c r="K20" s="27" t="n">
        <v>68.2</v>
      </c>
      <c r="L20" s="25" t="n">
        <v>52</v>
      </c>
      <c r="M20" s="26" t="n">
        <v>26955</v>
      </c>
      <c r="N20" s="26" t="n">
        <v>1405</v>
      </c>
      <c r="O20" s="26" t="n">
        <v>1004</v>
      </c>
      <c r="P20" s="25" t="n">
        <v>125</v>
      </c>
      <c r="Q20" s="26" t="n">
        <v>830</v>
      </c>
      <c r="R20" s="27" t="n">
        <v>136.8</v>
      </c>
      <c r="S20" s="27" t="n">
        <v>123.9</v>
      </c>
      <c r="T20" s="25" t="n">
        <v>65</v>
      </c>
      <c r="U20" s="26" t="n">
        <v>57330</v>
      </c>
      <c r="V20" s="26" t="n">
        <v>2189</v>
      </c>
      <c r="W20" s="26" t="n">
        <v>1563</v>
      </c>
      <c r="X20" s="25" t="n">
        <v>132</v>
      </c>
      <c r="Y20" s="26" t="n">
        <v>1269</v>
      </c>
      <c r="Z20" s="27" t="n">
        <v>278.3</v>
      </c>
      <c r="AA20" s="27" t="n">
        <v>173.7</v>
      </c>
      <c r="AB20" s="28" t="n">
        <f aca="false">IF(E20=0,"-",M20/E20)</f>
        <v>3.64897793420875</v>
      </c>
      <c r="AC20" s="28" t="n">
        <f aca="false">IF(E20=0,"-",U20/E20)</f>
        <v>7.76093136591309</v>
      </c>
      <c r="AD20" s="28" t="n">
        <f aca="false">IF(F20=0,"-",N20/F20)</f>
        <v>1.7739898989899</v>
      </c>
      <c r="AE20" s="28" t="n">
        <f aca="false">IF(F20=0,"-",V20/F20)</f>
        <v>2.76388888888889</v>
      </c>
    </row>
    <row r="21" customFormat="false" ht="15" hidden="false" customHeight="false" outlineLevel="0" collapsed="false">
      <c r="A21" s="4" t="n">
        <v>18</v>
      </c>
      <c r="B21" s="4" t="s">
        <v>74</v>
      </c>
      <c r="C21" s="4" t="s">
        <v>75</v>
      </c>
      <c r="D21" s="25" t="n">
        <v>42</v>
      </c>
      <c r="E21" s="26" t="n">
        <v>10626</v>
      </c>
      <c r="F21" s="26" t="n">
        <v>1040</v>
      </c>
      <c r="G21" s="26" t="n">
        <v>743</v>
      </c>
      <c r="H21" s="25" t="n">
        <v>120</v>
      </c>
      <c r="I21" s="26" t="n">
        <v>560</v>
      </c>
      <c r="J21" s="27" t="n">
        <v>57.8</v>
      </c>
      <c r="K21" s="27" t="n">
        <v>119.3</v>
      </c>
      <c r="L21" s="25" t="n">
        <v>53</v>
      </c>
      <c r="M21" s="26" t="n">
        <v>36228</v>
      </c>
      <c r="N21" s="26" t="n">
        <v>1784</v>
      </c>
      <c r="O21" s="26" t="n">
        <v>1274</v>
      </c>
      <c r="P21" s="25" t="n">
        <v>126</v>
      </c>
      <c r="Q21" s="26" t="n">
        <v>1009</v>
      </c>
      <c r="R21" s="27" t="n">
        <v>185.8</v>
      </c>
      <c r="S21" s="27" t="n">
        <v>208</v>
      </c>
      <c r="T21" s="25" t="n">
        <v>65</v>
      </c>
      <c r="U21" s="26" t="n">
        <v>76171</v>
      </c>
      <c r="V21" s="26" t="n">
        <v>2736</v>
      </c>
      <c r="W21" s="26" t="n">
        <v>1954</v>
      </c>
      <c r="X21" s="25" t="n">
        <v>132</v>
      </c>
      <c r="Y21" s="26" t="n">
        <v>1523</v>
      </c>
      <c r="Z21" s="27" t="n">
        <v>369.8</v>
      </c>
      <c r="AA21" s="27" t="n">
        <v>288.3</v>
      </c>
      <c r="AB21" s="28" t="n">
        <f aca="false">IF(E21=0,"-",M21/E21)</f>
        <v>3.40937323546019</v>
      </c>
      <c r="AC21" s="28" t="n">
        <f aca="false">IF(E21=0,"-",U21/E21)</f>
        <v>7.16836062488236</v>
      </c>
      <c r="AD21" s="28" t="n">
        <f aca="false">IF(F21=0,"-",N21/F21)</f>
        <v>1.71538461538462</v>
      </c>
      <c r="AE21" s="28" t="n">
        <f aca="false">IF(F21=0,"-",V21/F21)</f>
        <v>2.63076923076923</v>
      </c>
    </row>
    <row r="22" customFormat="false" ht="15" hidden="false" customHeight="false" outlineLevel="0" collapsed="false">
      <c r="A22" s="4" t="n">
        <v>19</v>
      </c>
      <c r="B22" s="4" t="s">
        <v>76</v>
      </c>
      <c r="C22" s="4" t="s">
        <v>77</v>
      </c>
      <c r="D22" s="25" t="n">
        <v>45</v>
      </c>
      <c r="E22" s="26" t="n">
        <v>10931</v>
      </c>
      <c r="F22" s="26" t="n">
        <v>831</v>
      </c>
      <c r="G22" s="26" t="n">
        <v>593</v>
      </c>
      <c r="H22" s="25" t="n">
        <v>126</v>
      </c>
      <c r="I22" s="26" t="n">
        <v>510</v>
      </c>
      <c r="J22" s="27" t="n">
        <v>55.8</v>
      </c>
      <c r="K22" s="27" t="n">
        <v>58</v>
      </c>
      <c r="L22" s="25" t="n">
        <v>55</v>
      </c>
      <c r="M22" s="26" t="n">
        <v>38868</v>
      </c>
      <c r="N22" s="26" t="n">
        <v>1408</v>
      </c>
      <c r="O22" s="26" t="n">
        <v>1006</v>
      </c>
      <c r="P22" s="25" t="n">
        <v>131</v>
      </c>
      <c r="Q22" s="26" t="n">
        <v>921</v>
      </c>
      <c r="R22" s="27" t="n">
        <v>187.8</v>
      </c>
      <c r="S22" s="27" t="n">
        <v>104</v>
      </c>
      <c r="T22" s="25" t="n">
        <v>66</v>
      </c>
      <c r="U22" s="26" t="n">
        <v>80575</v>
      </c>
      <c r="V22" s="26" t="n">
        <v>2124</v>
      </c>
      <c r="W22" s="26" t="n">
        <v>1517</v>
      </c>
      <c r="X22" s="25" t="n">
        <v>136</v>
      </c>
      <c r="Y22" s="26" t="n">
        <v>1371</v>
      </c>
      <c r="Z22" s="27" t="n">
        <v>381.9</v>
      </c>
      <c r="AA22" s="27" t="n">
        <v>152.1</v>
      </c>
      <c r="AB22" s="28" t="n">
        <f aca="false">IF(E22=0,"-",M22/E22)</f>
        <v>3.55575885097429</v>
      </c>
      <c r="AC22" s="28" t="n">
        <f aca="false">IF(E22=0,"-",U22/E22)</f>
        <v>7.37123776415699</v>
      </c>
      <c r="AD22" s="28" t="n">
        <f aca="false">IF(F22=0,"-",N22/F22)</f>
        <v>1.69434416365824</v>
      </c>
      <c r="AE22" s="28" t="n">
        <f aca="false">IF(F22=0,"-",V22/F22)</f>
        <v>2.55595667870036</v>
      </c>
    </row>
    <row r="23" customFormat="false" ht="15" hidden="false" customHeight="false" outlineLevel="0" collapsed="false">
      <c r="A23" s="4" t="n">
        <v>20</v>
      </c>
      <c r="B23" s="4" t="s">
        <v>78</v>
      </c>
      <c r="C23" s="4" t="s">
        <v>79</v>
      </c>
      <c r="D23" s="25" t="n">
        <v>47</v>
      </c>
      <c r="E23" s="26" t="n">
        <v>12728</v>
      </c>
      <c r="F23" s="26" t="n">
        <v>851</v>
      </c>
      <c r="G23" s="26" t="n">
        <v>608</v>
      </c>
      <c r="H23" s="25" t="n">
        <v>123</v>
      </c>
      <c r="I23" s="26" t="n">
        <v>533</v>
      </c>
      <c r="J23" s="27" t="n">
        <v>63.6</v>
      </c>
      <c r="K23" s="27" t="n">
        <v>56.4</v>
      </c>
      <c r="L23" s="25" t="n">
        <v>56</v>
      </c>
      <c r="M23" s="26" t="n">
        <v>44865</v>
      </c>
      <c r="N23" s="26" t="n">
        <v>1416</v>
      </c>
      <c r="O23" s="26" t="n">
        <v>1011</v>
      </c>
      <c r="P23" s="25" t="n">
        <v>127</v>
      </c>
      <c r="Q23" s="26" t="n">
        <v>950</v>
      </c>
      <c r="R23" s="27" t="n">
        <v>218.9</v>
      </c>
      <c r="S23" s="27" t="n">
        <v>106.5</v>
      </c>
      <c r="T23" s="25" t="n">
        <v>66</v>
      </c>
      <c r="U23" s="26" t="n">
        <v>91985</v>
      </c>
      <c r="V23" s="26" t="n">
        <v>2105</v>
      </c>
      <c r="W23" s="26" t="n">
        <v>1504</v>
      </c>
      <c r="X23" s="25" t="n">
        <v>132</v>
      </c>
      <c r="Y23" s="26" t="n">
        <v>1400</v>
      </c>
      <c r="Z23" s="27" t="n">
        <v>435.9</v>
      </c>
      <c r="AA23" s="27" t="n">
        <v>154</v>
      </c>
      <c r="AB23" s="28" t="n">
        <f aca="false">IF(E23=0,"-",M23/E23)</f>
        <v>3.52490571967316</v>
      </c>
      <c r="AC23" s="28" t="n">
        <f aca="false">IF(E23=0,"-",U23/E23)</f>
        <v>7.22697988686361</v>
      </c>
      <c r="AD23" s="28" t="n">
        <f aca="false">IF(F23=0,"-",N23/F23)</f>
        <v>1.66392479435958</v>
      </c>
      <c r="AE23" s="28" t="n">
        <f aca="false">IF(F23=0,"-",V23/F23)</f>
        <v>2.47356051703878</v>
      </c>
    </row>
    <row r="24" customFormat="false" ht="15" hidden="false" customHeight="false" outlineLevel="0" collapsed="false">
      <c r="A24" s="4" t="n">
        <v>21</v>
      </c>
      <c r="B24" s="4" t="s">
        <v>80</v>
      </c>
      <c r="C24" s="4" t="s">
        <v>81</v>
      </c>
      <c r="D24" s="25" t="n">
        <v>49</v>
      </c>
      <c r="E24" s="26" t="n">
        <v>11249</v>
      </c>
      <c r="F24" s="26" t="n">
        <v>899</v>
      </c>
      <c r="G24" s="26" t="n">
        <v>642</v>
      </c>
      <c r="H24" s="25" t="n">
        <v>124</v>
      </c>
      <c r="I24" s="26" t="n">
        <v>533</v>
      </c>
      <c r="J24" s="27" t="n">
        <v>54.9</v>
      </c>
      <c r="K24" s="27" t="n">
        <v>56.5</v>
      </c>
      <c r="L24" s="25" t="n">
        <v>57</v>
      </c>
      <c r="M24" s="26" t="n">
        <v>39350</v>
      </c>
      <c r="N24" s="26" t="n">
        <v>1469</v>
      </c>
      <c r="O24" s="26" t="n">
        <v>1049</v>
      </c>
      <c r="P24" s="25" t="n">
        <v>128</v>
      </c>
      <c r="Q24" s="26" t="n">
        <v>939</v>
      </c>
      <c r="R24" s="27" t="n">
        <v>187.4</v>
      </c>
      <c r="S24" s="27" t="n">
        <v>106.1</v>
      </c>
      <c r="T24" s="25" t="n">
        <v>66</v>
      </c>
      <c r="U24" s="26" t="n">
        <v>79799</v>
      </c>
      <c r="V24" s="26" t="n">
        <v>2155</v>
      </c>
      <c r="W24" s="26" t="n">
        <v>1539</v>
      </c>
      <c r="X24" s="25" t="n">
        <v>132</v>
      </c>
      <c r="Y24" s="26" t="n">
        <v>1367</v>
      </c>
      <c r="Z24" s="27" t="n">
        <v>378.2</v>
      </c>
      <c r="AA24" s="27" t="n">
        <v>161</v>
      </c>
      <c r="AB24" s="28" t="n">
        <f aca="false">IF(E24=0,"-",M24/E24)</f>
        <v>3.49808871899724</v>
      </c>
      <c r="AC24" s="28" t="n">
        <f aca="false">IF(E24=0,"-",U24/E24)</f>
        <v>7.0938750111121</v>
      </c>
      <c r="AD24" s="28" t="n">
        <f aca="false">IF(F24=0,"-",N24/F24)</f>
        <v>1.63403781979978</v>
      </c>
      <c r="AE24" s="28" t="n">
        <f aca="false">IF(F24=0,"-",V24/F24)</f>
        <v>2.39710789766407</v>
      </c>
    </row>
    <row r="25" customFormat="false" ht="15" hidden="false" customHeight="false" outlineLevel="0" collapsed="false">
      <c r="A25" s="4" t="n">
        <v>22</v>
      </c>
      <c r="B25" s="4" t="s">
        <v>82</v>
      </c>
      <c r="C25" s="29" t="s">
        <v>83</v>
      </c>
      <c r="D25" s="25" t="n">
        <v>51</v>
      </c>
      <c r="E25" s="26" t="n">
        <v>12364</v>
      </c>
      <c r="F25" s="26" t="n">
        <v>878</v>
      </c>
      <c r="G25" s="26" t="n">
        <v>627</v>
      </c>
      <c r="H25" s="25" t="n">
        <v>125</v>
      </c>
      <c r="I25" s="26" t="n">
        <v>540</v>
      </c>
      <c r="J25" s="27" t="n">
        <v>59.2</v>
      </c>
      <c r="K25" s="27" t="n">
        <v>48.8</v>
      </c>
      <c r="L25" s="25" t="n">
        <v>58</v>
      </c>
      <c r="M25" s="26" t="n">
        <v>42961</v>
      </c>
      <c r="N25" s="26" t="n">
        <v>1413</v>
      </c>
      <c r="O25" s="26" t="n">
        <v>1009</v>
      </c>
      <c r="P25" s="25" t="n">
        <v>128</v>
      </c>
      <c r="Q25" s="26" t="n">
        <v>941</v>
      </c>
      <c r="R25" s="27" t="n">
        <v>198.9</v>
      </c>
      <c r="S25" s="27" t="n">
        <v>91</v>
      </c>
      <c r="T25" s="25" t="n">
        <v>66</v>
      </c>
      <c r="U25" s="26" t="n">
        <v>86178</v>
      </c>
      <c r="V25" s="26" t="n">
        <v>2045</v>
      </c>
      <c r="W25" s="26" t="n">
        <v>1461</v>
      </c>
      <c r="X25" s="25" t="n">
        <v>132</v>
      </c>
      <c r="Y25" s="26" t="n">
        <v>1358</v>
      </c>
      <c r="Z25" s="27" t="n">
        <v>397.1</v>
      </c>
      <c r="AA25" s="27" t="n">
        <v>137.3</v>
      </c>
      <c r="AB25" s="28" t="n">
        <f aca="false">IF(E25=0,"-",M25/E25)</f>
        <v>3.47468456810094</v>
      </c>
      <c r="AC25" s="28" t="n">
        <f aca="false">IF(E25=0,"-",U25/E25)</f>
        <v>6.97007440957619</v>
      </c>
      <c r="AD25" s="28" t="n">
        <f aca="false">IF(F25=0,"-",N25/F25)</f>
        <v>1.60933940774487</v>
      </c>
      <c r="AE25" s="28" t="n">
        <f aca="false">IF(F25=0,"-",V25/F25)</f>
        <v>2.32915717539863</v>
      </c>
    </row>
    <row r="26" customFormat="false" ht="15" hidden="false" customHeight="false" outlineLevel="0" collapsed="false">
      <c r="A26" s="4" t="n">
        <v>23</v>
      </c>
      <c r="B26" s="4" t="s">
        <v>84</v>
      </c>
      <c r="C26" s="4" t="s">
        <v>85</v>
      </c>
      <c r="D26" s="25" t="n">
        <v>53</v>
      </c>
      <c r="E26" s="26" t="n">
        <v>13161</v>
      </c>
      <c r="F26" s="26" t="n">
        <v>922</v>
      </c>
      <c r="G26" s="26" t="n">
        <v>658</v>
      </c>
      <c r="H26" s="25" t="n">
        <v>126</v>
      </c>
      <c r="I26" s="26" t="n">
        <v>563</v>
      </c>
      <c r="J26" s="27" t="n">
        <v>61.8</v>
      </c>
      <c r="K26" s="27" t="n">
        <v>48.7</v>
      </c>
      <c r="L26" s="25" t="n">
        <v>59</v>
      </c>
      <c r="M26" s="26" t="n">
        <v>45465</v>
      </c>
      <c r="N26" s="26" t="n">
        <v>1461</v>
      </c>
      <c r="O26" s="26" t="n">
        <v>1044</v>
      </c>
      <c r="P26" s="25" t="n">
        <v>129</v>
      </c>
      <c r="Q26" s="26" t="n">
        <v>973</v>
      </c>
      <c r="R26" s="27" t="n">
        <v>212.5</v>
      </c>
      <c r="S26" s="27" t="n">
        <v>95.7</v>
      </c>
      <c r="T26" s="25" t="n">
        <v>67</v>
      </c>
      <c r="U26" s="26" t="n">
        <v>91511</v>
      </c>
      <c r="V26" s="26" t="n">
        <v>2119</v>
      </c>
      <c r="W26" s="26" t="n">
        <v>1514</v>
      </c>
      <c r="X26" s="25" t="n">
        <v>133</v>
      </c>
      <c r="Y26" s="26" t="n">
        <v>1406</v>
      </c>
      <c r="Z26" s="27" t="n">
        <v>425.6</v>
      </c>
      <c r="AA26" s="27" t="n">
        <v>145</v>
      </c>
      <c r="AB26" s="28" t="n">
        <f aca="false">IF(E26=0,"-",M26/E26)</f>
        <v>3.45452473216321</v>
      </c>
      <c r="AC26" s="28" t="n">
        <f aca="false">IF(E26=0,"-",U26/E26)</f>
        <v>6.95319504596915</v>
      </c>
      <c r="AD26" s="28" t="n">
        <f aca="false">IF(F26=0,"-",N26/F26)</f>
        <v>1.58459869848156</v>
      </c>
      <c r="AE26" s="28" t="n">
        <f aca="false">IF(F26=0,"-",V26/F26)</f>
        <v>2.29826464208243</v>
      </c>
    </row>
    <row r="27" customFormat="false" ht="15" hidden="false" customHeight="false" outlineLevel="0" collapsed="false">
      <c r="A27" s="4" t="n">
        <v>24</v>
      </c>
      <c r="B27" s="4" t="s">
        <v>86</v>
      </c>
      <c r="C27" s="4" t="s">
        <v>87</v>
      </c>
      <c r="D27" s="25" t="n">
        <v>55</v>
      </c>
      <c r="E27" s="26" t="n">
        <v>17159</v>
      </c>
      <c r="F27" s="26" t="n">
        <v>1274</v>
      </c>
      <c r="G27" s="26" t="n">
        <v>910</v>
      </c>
      <c r="H27" s="25" t="n">
        <v>127</v>
      </c>
      <c r="I27" s="26" t="n">
        <v>709</v>
      </c>
      <c r="J27" s="27" t="n">
        <v>79.1</v>
      </c>
      <c r="K27" s="27" t="n">
        <v>86.9</v>
      </c>
      <c r="L27" s="25" t="n">
        <v>60</v>
      </c>
      <c r="M27" s="26" t="n">
        <v>69385</v>
      </c>
      <c r="N27" s="26" t="n">
        <v>1779</v>
      </c>
      <c r="O27" s="26" t="n">
        <v>1271</v>
      </c>
      <c r="P27" s="25" t="n">
        <v>129</v>
      </c>
      <c r="Q27" s="26" t="n">
        <v>1193</v>
      </c>
      <c r="R27" s="27" t="n">
        <v>316.8</v>
      </c>
      <c r="S27" s="27" t="n">
        <v>136.2</v>
      </c>
      <c r="T27" s="25" t="n">
        <v>67</v>
      </c>
      <c r="U27" s="26" t="n">
        <v>138169</v>
      </c>
      <c r="V27" s="26" t="n">
        <v>2547</v>
      </c>
      <c r="W27" s="26" t="n">
        <v>1819</v>
      </c>
      <c r="X27" s="25" t="n">
        <v>133</v>
      </c>
      <c r="Y27" s="26" t="n">
        <v>1708</v>
      </c>
      <c r="Z27" s="27" t="n">
        <v>642.6</v>
      </c>
      <c r="AA27" s="27" t="n">
        <v>215.4</v>
      </c>
      <c r="AB27" s="28" t="n">
        <f aca="false">IF(E27=0,"-",M27/E27)</f>
        <v>4.04365056238709</v>
      </c>
      <c r="AC27" s="28" t="n">
        <f aca="false">IF(E27=0,"-",U27/E27)</f>
        <v>8.05227577364648</v>
      </c>
      <c r="AD27" s="28" t="n">
        <f aca="false">IF(F27=0,"-",N27/F27)</f>
        <v>1.39638932496075</v>
      </c>
      <c r="AE27" s="28" t="n">
        <f aca="false">IF(F27=0,"-",V27/F27)</f>
        <v>1.99921507064364</v>
      </c>
    </row>
    <row r="28" customFormat="false" ht="15" hidden="false" customHeight="false" outlineLevel="0" collapsed="false">
      <c r="A28" s="4" t="n">
        <v>25</v>
      </c>
      <c r="B28" s="4" t="s">
        <v>88</v>
      </c>
      <c r="C28" s="4" t="s">
        <v>89</v>
      </c>
      <c r="D28" s="25" t="n">
        <v>57</v>
      </c>
      <c r="E28" s="26" t="n">
        <v>14468</v>
      </c>
      <c r="F28" s="26" t="n">
        <v>1128</v>
      </c>
      <c r="G28" s="26" t="n">
        <v>806</v>
      </c>
      <c r="H28" s="25" t="n">
        <v>132</v>
      </c>
      <c r="I28" s="26" t="n">
        <v>646</v>
      </c>
      <c r="J28" s="27" t="n">
        <v>63.2</v>
      </c>
      <c r="K28" s="27" t="n">
        <v>57.2</v>
      </c>
      <c r="L28" s="25" t="n">
        <v>61</v>
      </c>
      <c r="M28" s="26" t="n">
        <v>58253</v>
      </c>
      <c r="N28" s="26" t="n">
        <v>1558</v>
      </c>
      <c r="O28" s="26" t="n">
        <v>1113</v>
      </c>
      <c r="P28" s="25" t="n">
        <v>134</v>
      </c>
      <c r="Q28" s="26" t="n">
        <v>1079</v>
      </c>
      <c r="R28" s="27" t="n">
        <v>251.1</v>
      </c>
      <c r="S28" s="27" t="n">
        <v>89.4</v>
      </c>
      <c r="T28" s="25" t="n">
        <v>67</v>
      </c>
      <c r="U28" s="26" t="n">
        <v>114775</v>
      </c>
      <c r="V28" s="26" t="n">
        <v>2200</v>
      </c>
      <c r="W28" s="26" t="n">
        <v>1571</v>
      </c>
      <c r="X28" s="25" t="n">
        <v>137</v>
      </c>
      <c r="Y28" s="26" t="n">
        <v>1527</v>
      </c>
      <c r="Z28" s="27" t="n">
        <v>503.4</v>
      </c>
      <c r="AA28" s="27" t="n">
        <v>140.7</v>
      </c>
      <c r="AB28" s="28" t="n">
        <f aca="false">IF(E28=0,"-",M28/E28)</f>
        <v>4.02633397843517</v>
      </c>
      <c r="AC28" s="28" t="n">
        <f aca="false">IF(E28=0,"-",U28/E28)</f>
        <v>7.93302460602709</v>
      </c>
      <c r="AD28" s="28" t="n">
        <f aca="false">IF(F28=0,"-",N28/F28)</f>
        <v>1.38120567375887</v>
      </c>
      <c r="AE28" s="28" t="n">
        <f aca="false">IF(F28=0,"-",V28/F28)</f>
        <v>1.95035460992908</v>
      </c>
    </row>
    <row r="29" customFormat="false" ht="15" hidden="false" customHeight="false" outlineLevel="0" collapsed="false">
      <c r="A29" s="4" t="n">
        <v>26</v>
      </c>
      <c r="B29" s="4" t="s">
        <v>90</v>
      </c>
      <c r="C29" s="4" t="s">
        <v>91</v>
      </c>
      <c r="D29" s="25" t="n">
        <v>58</v>
      </c>
      <c r="E29" s="26" t="n">
        <v>14758</v>
      </c>
      <c r="F29" s="26" t="n">
        <v>1074</v>
      </c>
      <c r="G29" s="26" t="n">
        <v>767</v>
      </c>
      <c r="H29" s="25" t="n">
        <v>128</v>
      </c>
      <c r="I29" s="26" t="n">
        <v>628</v>
      </c>
      <c r="J29" s="27" t="n">
        <v>65.3</v>
      </c>
      <c r="K29" s="27" t="n">
        <v>49.4</v>
      </c>
      <c r="L29" s="25" t="n">
        <v>62</v>
      </c>
      <c r="M29" s="26" t="n">
        <v>60157</v>
      </c>
      <c r="N29" s="26" t="n">
        <v>1488</v>
      </c>
      <c r="O29" s="26" t="n">
        <v>1063</v>
      </c>
      <c r="P29" s="25" t="n">
        <v>130</v>
      </c>
      <c r="Q29" s="26" t="n">
        <v>1054</v>
      </c>
      <c r="R29" s="27" t="n">
        <v>261.6</v>
      </c>
      <c r="S29" s="27" t="n">
        <v>77.9</v>
      </c>
      <c r="T29" s="25" t="n">
        <v>66</v>
      </c>
      <c r="U29" s="26" t="n">
        <v>115631</v>
      </c>
      <c r="V29" s="26" t="n">
        <v>2045</v>
      </c>
      <c r="W29" s="26" t="n">
        <v>1461</v>
      </c>
      <c r="X29" s="25" t="n">
        <v>132</v>
      </c>
      <c r="Y29" s="26" t="n">
        <v>1461</v>
      </c>
      <c r="Z29" s="27" t="n">
        <v>518.5</v>
      </c>
      <c r="AA29" s="27" t="n">
        <v>125.7</v>
      </c>
      <c r="AB29" s="28" t="n">
        <f aca="false">IF(E29=0,"-",M29/E29)</f>
        <v>4.07622984144193</v>
      </c>
      <c r="AC29" s="28" t="n">
        <f aca="false">IF(E29=0,"-",U29/E29)</f>
        <v>7.83514026290825</v>
      </c>
      <c r="AD29" s="28" t="n">
        <f aca="false">IF(F29=0,"-",N29/F29)</f>
        <v>1.3854748603352</v>
      </c>
      <c r="AE29" s="28" t="n">
        <f aca="false">IF(F29=0,"-",V29/F29)</f>
        <v>1.90409683426443</v>
      </c>
    </row>
    <row r="30" customFormat="false" ht="15" hidden="false" customHeight="false" outlineLevel="0" collapsed="false">
      <c r="A30" s="4" t="n">
        <v>27</v>
      </c>
      <c r="B30" s="4" t="s">
        <v>92</v>
      </c>
      <c r="C30" s="4" t="s">
        <v>93</v>
      </c>
      <c r="D30" s="25" t="n">
        <v>61</v>
      </c>
      <c r="E30" s="26" t="n">
        <v>17110</v>
      </c>
      <c r="F30" s="26" t="n">
        <v>1402</v>
      </c>
      <c r="G30" s="26" t="n">
        <v>1002</v>
      </c>
      <c r="H30" s="25" t="n">
        <v>130</v>
      </c>
      <c r="I30" s="26" t="n">
        <v>748</v>
      </c>
      <c r="J30" s="27" t="n">
        <v>75</v>
      </c>
      <c r="K30" s="27" t="n">
        <v>78.4</v>
      </c>
      <c r="L30" s="25" t="n">
        <v>64</v>
      </c>
      <c r="M30" s="26" t="n">
        <v>69450</v>
      </c>
      <c r="N30" s="26" t="n">
        <v>1920</v>
      </c>
      <c r="O30" s="26" t="n">
        <v>1371</v>
      </c>
      <c r="P30" s="25" t="n">
        <v>131</v>
      </c>
      <c r="Q30" s="26" t="n">
        <v>1244</v>
      </c>
      <c r="R30" s="27" t="n">
        <v>307.3</v>
      </c>
      <c r="S30" s="27" t="n">
        <v>129.4</v>
      </c>
      <c r="T30" s="25" t="n">
        <v>67</v>
      </c>
      <c r="U30" s="26" t="n">
        <v>132021</v>
      </c>
      <c r="V30" s="26" t="n">
        <v>2602</v>
      </c>
      <c r="W30" s="26" t="n">
        <v>1859</v>
      </c>
      <c r="X30" s="25" t="n">
        <v>133</v>
      </c>
      <c r="Y30" s="26" t="n">
        <v>1707</v>
      </c>
      <c r="Z30" s="27" t="n">
        <v>597.4</v>
      </c>
      <c r="AA30" s="27" t="n">
        <v>206.4</v>
      </c>
      <c r="AB30" s="28" t="n">
        <f aca="false">IF(E30=0,"-",M30/E30)</f>
        <v>4.05902980713033</v>
      </c>
      <c r="AC30" s="28" t="n">
        <f aca="false">IF(E30=0,"-",U30/E30)</f>
        <v>7.71601402688486</v>
      </c>
      <c r="AD30" s="28" t="n">
        <f aca="false">IF(F30=0,"-",N30/F30)</f>
        <v>1.36947218259629</v>
      </c>
      <c r="AE30" s="28" t="n">
        <f aca="false">IF(F30=0,"-",V30/F30)</f>
        <v>1.85592011412268</v>
      </c>
    </row>
    <row r="31" customFormat="false" ht="15" hidden="false" customHeight="false" outlineLevel="0" collapsed="false">
      <c r="A31" s="4" t="n">
        <v>28</v>
      </c>
      <c r="B31" s="4" t="s">
        <v>94</v>
      </c>
      <c r="C31" s="4" t="s">
        <v>95</v>
      </c>
      <c r="D31" s="25" t="n">
        <v>63</v>
      </c>
      <c r="E31" s="26" t="n">
        <v>17136</v>
      </c>
      <c r="F31" s="26" t="n">
        <v>1133</v>
      </c>
      <c r="G31" s="26" t="n">
        <v>810</v>
      </c>
      <c r="H31" s="25" t="n">
        <v>131</v>
      </c>
      <c r="I31" s="26" t="n">
        <v>674</v>
      </c>
      <c r="J31" s="27" t="n">
        <v>71.7</v>
      </c>
      <c r="K31" s="27" t="n">
        <v>46.1</v>
      </c>
      <c r="L31" s="25" t="n">
        <v>65</v>
      </c>
      <c r="M31" s="26" t="n">
        <v>69368</v>
      </c>
      <c r="N31" s="26" t="n">
        <v>1534</v>
      </c>
      <c r="O31" s="26" t="n">
        <v>1096</v>
      </c>
      <c r="P31" s="25" t="n">
        <v>132</v>
      </c>
      <c r="Q31" s="26" t="n">
        <v>1114</v>
      </c>
      <c r="R31" s="27" t="n">
        <v>291.5</v>
      </c>
      <c r="S31" s="27" t="n">
        <v>75.9</v>
      </c>
      <c r="T31" s="25" t="n">
        <v>67</v>
      </c>
      <c r="U31" s="26" t="n">
        <v>130533</v>
      </c>
      <c r="V31" s="26" t="n">
        <v>2057</v>
      </c>
      <c r="W31" s="26" t="n">
        <v>1469</v>
      </c>
      <c r="X31" s="25" t="n">
        <v>133</v>
      </c>
      <c r="Y31" s="26" t="n">
        <v>1513</v>
      </c>
      <c r="Z31" s="27" t="n">
        <v>555.5</v>
      </c>
      <c r="AA31" s="27" t="n">
        <v>120.2</v>
      </c>
      <c r="AB31" s="28" t="n">
        <f aca="false">IF(E31=0,"-",M31/E31)</f>
        <v>4.04808590102708</v>
      </c>
      <c r="AC31" s="28" t="n">
        <f aca="false">IF(E31=0,"-",U31/E31)</f>
        <v>7.61747198879552</v>
      </c>
      <c r="AD31" s="28" t="n">
        <f aca="false">IF(F31=0,"-",N31/F31)</f>
        <v>1.35392762577229</v>
      </c>
      <c r="AE31" s="28" t="n">
        <f aca="false">IF(F31=0,"-",V31/F31)</f>
        <v>1.81553398058252</v>
      </c>
    </row>
    <row r="32" customFormat="false" ht="15" hidden="false" customHeight="false" outlineLevel="0" collapsed="false">
      <c r="A32" s="4" t="n">
        <v>29</v>
      </c>
      <c r="B32" s="4" t="s">
        <v>96</v>
      </c>
      <c r="C32" s="4" t="s">
        <v>97</v>
      </c>
      <c r="D32" s="25" t="n">
        <v>65</v>
      </c>
      <c r="E32" s="26" t="n">
        <v>21420</v>
      </c>
      <c r="F32" s="26" t="n">
        <v>1128</v>
      </c>
      <c r="G32" s="26" t="n">
        <v>806</v>
      </c>
      <c r="H32" s="25" t="n">
        <v>138</v>
      </c>
      <c r="I32" s="26" t="n">
        <v>720</v>
      </c>
      <c r="J32" s="27" t="n">
        <v>88.5</v>
      </c>
      <c r="K32" s="27" t="n">
        <v>43.4</v>
      </c>
      <c r="L32" s="25" t="n">
        <v>66</v>
      </c>
      <c r="M32" s="26" t="n">
        <v>86516</v>
      </c>
      <c r="N32" s="26" t="n">
        <v>1513</v>
      </c>
      <c r="O32" s="26" t="n">
        <v>1081</v>
      </c>
      <c r="P32" s="25" t="n">
        <v>138</v>
      </c>
      <c r="Q32" s="26" t="n">
        <v>1182</v>
      </c>
      <c r="R32" s="27" t="n">
        <v>366.6</v>
      </c>
      <c r="S32" s="27" t="n">
        <v>74.6</v>
      </c>
      <c r="T32" s="25" t="n">
        <v>67</v>
      </c>
      <c r="U32" s="26" t="n">
        <v>161169</v>
      </c>
      <c r="V32" s="26" t="n">
        <v>2003</v>
      </c>
      <c r="W32" s="26" t="n">
        <v>1431</v>
      </c>
      <c r="X32" s="25" t="n">
        <v>139</v>
      </c>
      <c r="Y32" s="26" t="n">
        <v>1592</v>
      </c>
      <c r="Z32" s="27" t="n">
        <v>688.8</v>
      </c>
      <c r="AA32" s="27" t="n">
        <v>117.2</v>
      </c>
      <c r="AB32" s="28" t="n">
        <f aca="false">IF(E32=0,"-",M32/E32)</f>
        <v>4.0390289449113</v>
      </c>
      <c r="AC32" s="28" t="n">
        <f aca="false">IF(E32=0,"-",U32/E32)</f>
        <v>7.52422969187675</v>
      </c>
      <c r="AD32" s="28" t="n">
        <f aca="false">IF(F32=0,"-",N32/F32)</f>
        <v>1.34131205673759</v>
      </c>
      <c r="AE32" s="28" t="n">
        <f aca="false">IF(F32=0,"-",V32/F32)</f>
        <v>1.77570921985816</v>
      </c>
    </row>
    <row r="33" customFormat="false" ht="15" hidden="false" customHeight="false" outlineLevel="0" collapsed="false">
      <c r="A33" s="4" t="n">
        <v>30</v>
      </c>
      <c r="B33" s="4" t="s">
        <v>98</v>
      </c>
      <c r="C33" s="4" t="s">
        <v>99</v>
      </c>
      <c r="D33" s="25" t="n">
        <v>67</v>
      </c>
      <c r="E33" s="26" t="n">
        <v>23511</v>
      </c>
      <c r="F33" s="26" t="n">
        <v>1317</v>
      </c>
      <c r="G33" s="26" t="n">
        <v>941</v>
      </c>
      <c r="H33" s="25" t="n">
        <v>147</v>
      </c>
      <c r="I33" s="26" t="n">
        <v>809</v>
      </c>
      <c r="J33" s="27" t="n">
        <v>107.4</v>
      </c>
      <c r="K33" s="27" t="n">
        <v>51.2</v>
      </c>
      <c r="L33" s="25" t="n">
        <v>67</v>
      </c>
      <c r="M33" s="26" t="n">
        <v>89635</v>
      </c>
      <c r="N33" s="26" t="n">
        <v>1727</v>
      </c>
      <c r="O33" s="26" t="n">
        <v>1234</v>
      </c>
      <c r="P33" s="25" t="n">
        <v>147</v>
      </c>
      <c r="Q33" s="26" t="n">
        <v>1295</v>
      </c>
      <c r="R33" s="27" t="n">
        <v>416.9</v>
      </c>
      <c r="S33" s="27" t="n">
        <v>85.7</v>
      </c>
      <c r="T33" s="25" t="n">
        <v>67</v>
      </c>
      <c r="U33" s="26" t="n">
        <v>165318</v>
      </c>
      <c r="V33" s="26" t="n">
        <v>2260</v>
      </c>
      <c r="W33" s="26" t="n">
        <v>1614</v>
      </c>
      <c r="X33" s="25" t="n">
        <v>147</v>
      </c>
      <c r="Y33" s="26" t="n">
        <v>1725</v>
      </c>
      <c r="Z33" s="27" t="n">
        <v>791</v>
      </c>
      <c r="AA33" s="27" t="n">
        <v>139.7</v>
      </c>
      <c r="AB33" s="28" t="n">
        <f aca="false">IF(E33=0,"-",M33/E33)</f>
        <v>3.81247075836842</v>
      </c>
      <c r="AC33" s="28" t="n">
        <f aca="false">IF(E33=0,"-",U33/E33)</f>
        <v>7.03151716217941</v>
      </c>
      <c r="AD33" s="28" t="n">
        <f aca="false">IF(F33=0,"-",N33/F33)</f>
        <v>1.31131359149582</v>
      </c>
      <c r="AE33" s="28" t="n">
        <f aca="false">IF(F33=0,"-",V33/F33)</f>
        <v>1.71602126044039</v>
      </c>
    </row>
    <row r="36" customFormat="false" ht="15" hidden="false" customHeight="false" outlineLevel="0" collapsed="false">
      <c r="A36" s="2" t="s">
        <v>100</v>
      </c>
    </row>
  </sheetData>
  <mergeCells count="7">
    <mergeCell ref="A2:A3"/>
    <mergeCell ref="B2:B3"/>
    <mergeCell ref="C2:C3"/>
    <mergeCell ref="D2:K2"/>
    <mergeCell ref="L2:S2"/>
    <mergeCell ref="T2:AA2"/>
    <mergeCell ref="AB2:A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27" min="3" style="0" width="12"/>
  </cols>
  <sheetData>
    <row r="1" customFormat="false" ht="17.15" hidden="false" customHeight="false" outlineLevel="0" collapsed="false">
      <c r="A1" s="16" t="s">
        <v>101</v>
      </c>
    </row>
    <row r="2" customFormat="false" ht="15" hidden="false" customHeight="true" outlineLevel="0" collapsed="false">
      <c r="A2" s="3" t="s">
        <v>29</v>
      </c>
      <c r="B2" s="3" t="s">
        <v>102</v>
      </c>
      <c r="C2" s="3" t="s">
        <v>103</v>
      </c>
      <c r="D2" s="3" t="s">
        <v>104</v>
      </c>
      <c r="E2" s="3" t="s">
        <v>105</v>
      </c>
      <c r="F2" s="17" t="s">
        <v>3</v>
      </c>
      <c r="G2" s="17"/>
      <c r="H2" s="17"/>
      <c r="I2" s="17"/>
      <c r="J2" s="17"/>
      <c r="K2" s="17"/>
      <c r="L2" s="18" t="s">
        <v>4</v>
      </c>
      <c r="M2" s="18"/>
      <c r="N2" s="18"/>
      <c r="O2" s="18"/>
      <c r="P2" s="18"/>
      <c r="Q2" s="18"/>
      <c r="R2" s="19" t="s">
        <v>5</v>
      </c>
      <c r="S2" s="19"/>
      <c r="T2" s="19"/>
      <c r="U2" s="19"/>
      <c r="V2" s="19"/>
      <c r="W2" s="19"/>
      <c r="X2" s="20" t="s">
        <v>32</v>
      </c>
      <c r="Y2" s="20"/>
      <c r="Z2" s="20"/>
      <c r="AA2" s="20"/>
    </row>
    <row r="3" customFormat="false" ht="28.35" hidden="false" customHeight="false" outlineLevel="0" collapsed="false">
      <c r="A3" s="3"/>
      <c r="B3" s="3"/>
      <c r="C3" s="3"/>
      <c r="D3" s="3"/>
      <c r="E3" s="3"/>
      <c r="F3" s="21" t="s">
        <v>106</v>
      </c>
      <c r="G3" s="21" t="s">
        <v>107</v>
      </c>
      <c r="H3" s="21" t="s">
        <v>108</v>
      </c>
      <c r="I3" s="21" t="s">
        <v>109</v>
      </c>
      <c r="J3" s="21" t="s">
        <v>110</v>
      </c>
      <c r="K3" s="21" t="s">
        <v>111</v>
      </c>
      <c r="L3" s="22" t="s">
        <v>106</v>
      </c>
      <c r="M3" s="22" t="s">
        <v>107</v>
      </c>
      <c r="N3" s="22" t="s">
        <v>108</v>
      </c>
      <c r="O3" s="22" t="s">
        <v>109</v>
      </c>
      <c r="P3" s="22" t="s">
        <v>110</v>
      </c>
      <c r="Q3" s="22" t="s">
        <v>111</v>
      </c>
      <c r="R3" s="23" t="s">
        <v>106</v>
      </c>
      <c r="S3" s="23" t="s">
        <v>107</v>
      </c>
      <c r="T3" s="23" t="s">
        <v>108</v>
      </c>
      <c r="U3" s="23" t="s">
        <v>109</v>
      </c>
      <c r="V3" s="23" t="s">
        <v>110</v>
      </c>
      <c r="W3" s="23" t="s">
        <v>111</v>
      </c>
      <c r="X3" s="24" t="s">
        <v>112</v>
      </c>
      <c r="Y3" s="24" t="s">
        <v>113</v>
      </c>
      <c r="Z3" s="24" t="s">
        <v>114</v>
      </c>
      <c r="AA3" s="24" t="s">
        <v>115</v>
      </c>
    </row>
    <row r="4" customFormat="false" ht="15" hidden="false" customHeight="false" outlineLevel="0" collapsed="false">
      <c r="A4" s="4" t="n">
        <v>1</v>
      </c>
      <c r="B4" s="4" t="s">
        <v>40</v>
      </c>
      <c r="C4" s="4" t="n">
        <v>1</v>
      </c>
      <c r="D4" s="4" t="n">
        <v>4</v>
      </c>
      <c r="E4" s="4" t="n">
        <v>5</v>
      </c>
      <c r="F4" s="26" t="n">
        <v>564</v>
      </c>
      <c r="G4" s="26" t="n">
        <v>28</v>
      </c>
      <c r="H4" s="30" t="s">
        <v>116</v>
      </c>
      <c r="I4" s="26" t="n">
        <v>124</v>
      </c>
      <c r="J4" s="26" t="n">
        <v>539</v>
      </c>
      <c r="K4" s="25" t="n">
        <v>29</v>
      </c>
      <c r="L4" s="26" t="n">
        <v>4537</v>
      </c>
      <c r="M4" s="26" t="n">
        <v>165</v>
      </c>
      <c r="N4" s="30" t="s">
        <v>117</v>
      </c>
      <c r="O4" s="26" t="n">
        <v>186</v>
      </c>
      <c r="P4" s="26" t="n">
        <v>809</v>
      </c>
      <c r="Q4" s="25" t="n">
        <v>36</v>
      </c>
      <c r="R4" s="26" t="n">
        <v>9735</v>
      </c>
      <c r="S4" s="26" t="n">
        <v>270</v>
      </c>
      <c r="T4" s="30" t="s">
        <v>118</v>
      </c>
      <c r="U4" s="26" t="n">
        <v>273</v>
      </c>
      <c r="V4" s="26" t="n">
        <v>1185</v>
      </c>
      <c r="W4" s="25" t="n">
        <v>41</v>
      </c>
      <c r="X4" s="28" t="n">
        <f aca="false">IF(F4=0,"-",L4/F4)</f>
        <v>8.04432624113475</v>
      </c>
      <c r="Y4" s="28" t="n">
        <f aca="false">IF(F4=0,"-",R4/F4)</f>
        <v>17.2606382978723</v>
      </c>
      <c r="Z4" s="28" t="n">
        <f aca="false">IF(I4=0,"-",O4/I4)</f>
        <v>1.5</v>
      </c>
      <c r="AA4" s="28" t="n">
        <f aca="false">IF(I4=0,"-",U4/I4)</f>
        <v>2.20161290322581</v>
      </c>
    </row>
    <row r="5" customFormat="false" ht="15" hidden="false" customHeight="false" outlineLevel="0" collapsed="false">
      <c r="A5" s="4" t="n">
        <v>2</v>
      </c>
      <c r="B5" s="4" t="s">
        <v>42</v>
      </c>
      <c r="C5" s="4" t="n">
        <v>3</v>
      </c>
      <c r="D5" s="4" t="n">
        <v>3</v>
      </c>
      <c r="E5" s="4" t="n">
        <v>5</v>
      </c>
      <c r="F5" s="26" t="n">
        <v>986</v>
      </c>
      <c r="G5" s="26" t="n">
        <v>45</v>
      </c>
      <c r="H5" s="30" t="s">
        <v>116</v>
      </c>
      <c r="I5" s="26" t="n">
        <v>236</v>
      </c>
      <c r="J5" s="26" t="n">
        <v>2520</v>
      </c>
      <c r="K5" s="25" t="n">
        <v>17</v>
      </c>
      <c r="L5" s="26" t="n">
        <v>5586</v>
      </c>
      <c r="M5" s="26" t="n">
        <v>169</v>
      </c>
      <c r="N5" s="30" t="s">
        <v>117</v>
      </c>
      <c r="O5" s="26" t="n">
        <v>354</v>
      </c>
      <c r="P5" s="26" t="n">
        <v>3780</v>
      </c>
      <c r="Q5" s="25" t="n">
        <v>21</v>
      </c>
      <c r="R5" s="26" t="n">
        <v>11761</v>
      </c>
      <c r="S5" s="26" t="n">
        <v>270</v>
      </c>
      <c r="T5" s="30" t="s">
        <v>118</v>
      </c>
      <c r="U5" s="26" t="n">
        <v>520</v>
      </c>
      <c r="V5" s="26" t="n">
        <v>5544</v>
      </c>
      <c r="W5" s="25" t="n">
        <v>25</v>
      </c>
      <c r="X5" s="28" t="n">
        <f aca="false">IF(F5=0,"-",L5/F5)</f>
        <v>5.66531440162272</v>
      </c>
      <c r="Y5" s="28" t="n">
        <f aca="false">IF(F5=0,"-",R5/F5)</f>
        <v>11.9279918864097</v>
      </c>
      <c r="Z5" s="28" t="n">
        <f aca="false">IF(I5=0,"-",O5/I5)</f>
        <v>1.5</v>
      </c>
      <c r="AA5" s="28" t="n">
        <f aca="false">IF(I5=0,"-",U5/I5)</f>
        <v>2.20338983050847</v>
      </c>
    </row>
    <row r="6" customFormat="false" ht="15" hidden="false" customHeight="false" outlineLevel="0" collapsed="false">
      <c r="A6" s="4" t="n">
        <v>3</v>
      </c>
      <c r="B6" s="4" t="s">
        <v>44</v>
      </c>
      <c r="C6" s="4" t="n">
        <v>4</v>
      </c>
      <c r="D6" s="4" t="n">
        <v>3</v>
      </c>
      <c r="E6" s="4" t="n">
        <v>7</v>
      </c>
      <c r="F6" s="26" t="n">
        <v>1632</v>
      </c>
      <c r="G6" s="26" t="n">
        <v>60</v>
      </c>
      <c r="H6" s="30" t="s">
        <v>116</v>
      </c>
      <c r="I6" s="26" t="n">
        <v>403</v>
      </c>
      <c r="J6" s="26" t="n">
        <v>2880</v>
      </c>
      <c r="K6" s="25" t="n">
        <v>14</v>
      </c>
      <c r="L6" s="26" t="n">
        <v>6932</v>
      </c>
      <c r="M6" s="26" t="n">
        <v>173</v>
      </c>
      <c r="N6" s="30" t="s">
        <v>117</v>
      </c>
      <c r="O6" s="26" t="n">
        <v>604</v>
      </c>
      <c r="P6" s="26" t="n">
        <v>4320</v>
      </c>
      <c r="Q6" s="25" t="n">
        <v>17</v>
      </c>
      <c r="R6" s="26" t="n">
        <v>14264</v>
      </c>
      <c r="S6" s="26" t="n">
        <v>270</v>
      </c>
      <c r="T6" s="30" t="s">
        <v>118</v>
      </c>
      <c r="U6" s="26" t="n">
        <v>887</v>
      </c>
      <c r="V6" s="26" t="n">
        <v>6336</v>
      </c>
      <c r="W6" s="25" t="n">
        <v>20</v>
      </c>
      <c r="X6" s="28" t="n">
        <f aca="false">IF(F6=0,"-",L6/F6)</f>
        <v>4.24754901960784</v>
      </c>
      <c r="Y6" s="28" t="n">
        <f aca="false">IF(F6=0,"-",R6/F6)</f>
        <v>8.74019607843137</v>
      </c>
      <c r="Z6" s="28" t="n">
        <f aca="false">IF(I6=0,"-",O6/I6)</f>
        <v>1.49875930521092</v>
      </c>
      <c r="AA6" s="28" t="n">
        <f aca="false">IF(I6=0,"-",U6/I6)</f>
        <v>2.20099255583127</v>
      </c>
    </row>
    <row r="7" customFormat="false" ht="15" hidden="false" customHeight="false" outlineLevel="0" collapsed="false">
      <c r="A7" s="4" t="n">
        <v>4</v>
      </c>
      <c r="B7" s="4" t="s">
        <v>46</v>
      </c>
      <c r="C7" s="4" t="n">
        <v>5</v>
      </c>
      <c r="D7" s="4" t="n">
        <v>3</v>
      </c>
      <c r="E7" s="4" t="n">
        <v>7</v>
      </c>
      <c r="F7" s="26" t="n">
        <v>2671</v>
      </c>
      <c r="G7" s="26" t="n">
        <v>74</v>
      </c>
      <c r="H7" s="30" t="s">
        <v>116</v>
      </c>
      <c r="I7" s="26" t="n">
        <v>593</v>
      </c>
      <c r="J7" s="26" t="n">
        <v>4140</v>
      </c>
      <c r="K7" s="25" t="n">
        <v>20</v>
      </c>
      <c r="L7" s="26" t="n">
        <v>7477</v>
      </c>
      <c r="M7" s="26" t="n">
        <v>176</v>
      </c>
      <c r="N7" s="30" t="s">
        <v>117</v>
      </c>
      <c r="O7" s="26" t="n">
        <v>889</v>
      </c>
      <c r="P7" s="26" t="n">
        <v>6210</v>
      </c>
      <c r="Q7" s="25" t="n">
        <v>23</v>
      </c>
      <c r="R7" s="26" t="n">
        <v>14972</v>
      </c>
      <c r="S7" s="26" t="n">
        <v>270</v>
      </c>
      <c r="T7" s="30" t="s">
        <v>118</v>
      </c>
      <c r="U7" s="26" t="n">
        <v>1305</v>
      </c>
      <c r="V7" s="26" t="n">
        <v>9108</v>
      </c>
      <c r="W7" s="25" t="n">
        <v>24</v>
      </c>
      <c r="X7" s="28" t="n">
        <f aca="false">IF(F7=0,"-",L7/F7)</f>
        <v>2.79932609509547</v>
      </c>
      <c r="Y7" s="28" t="n">
        <f aca="false">IF(F7=0,"-",R7/F7)</f>
        <v>5.60539123923624</v>
      </c>
      <c r="Z7" s="28" t="n">
        <f aca="false">IF(I7=0,"-",O7/I7)</f>
        <v>1.4991568296796</v>
      </c>
      <c r="AA7" s="28" t="n">
        <f aca="false">IF(I7=0,"-",U7/I7)</f>
        <v>2.20067453625632</v>
      </c>
    </row>
    <row r="8" customFormat="false" ht="15" hidden="false" customHeight="false" outlineLevel="0" collapsed="false">
      <c r="A8" s="4" t="n">
        <v>5</v>
      </c>
      <c r="B8" s="4" t="s">
        <v>48</v>
      </c>
      <c r="C8" s="4" t="n">
        <v>6</v>
      </c>
      <c r="D8" s="4" t="n">
        <v>2</v>
      </c>
      <c r="E8" s="4" t="n">
        <v>2</v>
      </c>
      <c r="F8" s="26" t="n">
        <v>1776</v>
      </c>
      <c r="G8" s="26" t="n">
        <v>87</v>
      </c>
      <c r="H8" s="30" t="s">
        <v>119</v>
      </c>
      <c r="I8" s="26" t="n">
        <v>806</v>
      </c>
      <c r="J8" s="26" t="n">
        <v>8460</v>
      </c>
      <c r="K8" s="25" t="n">
        <v>13</v>
      </c>
      <c r="L8" s="26" t="n">
        <v>3339</v>
      </c>
      <c r="M8" s="26" t="n">
        <v>180</v>
      </c>
      <c r="N8" s="30" t="s">
        <v>120</v>
      </c>
      <c r="O8" s="26" t="n">
        <v>1209</v>
      </c>
      <c r="P8" s="26" t="n">
        <v>12690</v>
      </c>
      <c r="Q8" s="25" t="n">
        <v>15</v>
      </c>
      <c r="R8" s="26" t="n">
        <v>5811</v>
      </c>
      <c r="S8" s="26" t="n">
        <v>270</v>
      </c>
      <c r="T8" s="30" t="s">
        <v>118</v>
      </c>
      <c r="U8" s="26" t="n">
        <v>1773</v>
      </c>
      <c r="V8" s="26" t="n">
        <v>18612</v>
      </c>
      <c r="W8" s="25" t="n">
        <v>15</v>
      </c>
      <c r="X8" s="28" t="n">
        <f aca="false">IF(F8=0,"-",L8/F8)</f>
        <v>1.88006756756757</v>
      </c>
      <c r="Y8" s="28" t="n">
        <f aca="false">IF(F8=0,"-",R8/F8)</f>
        <v>3.27195945945946</v>
      </c>
      <c r="Z8" s="28" t="n">
        <f aca="false">IF(I8=0,"-",O8/I8)</f>
        <v>1.5</v>
      </c>
      <c r="AA8" s="28" t="n">
        <f aca="false">IF(I8=0,"-",U8/I8)</f>
        <v>2.19975186104218</v>
      </c>
    </row>
    <row r="9" customFormat="false" ht="15" hidden="false" customHeight="false" outlineLevel="0" collapsed="false">
      <c r="A9" s="4" t="n">
        <v>6</v>
      </c>
      <c r="B9" s="4" t="s">
        <v>50</v>
      </c>
      <c r="C9" s="4" t="n">
        <v>7</v>
      </c>
      <c r="D9" s="4" t="n">
        <v>3</v>
      </c>
      <c r="E9" s="4" t="n">
        <v>7</v>
      </c>
      <c r="F9" s="26" t="n">
        <v>4078</v>
      </c>
      <c r="G9" s="26" t="n">
        <v>100</v>
      </c>
      <c r="H9" s="30" t="s">
        <v>119</v>
      </c>
      <c r="I9" s="26" t="n">
        <v>1070</v>
      </c>
      <c r="J9" s="26" t="n">
        <v>5400</v>
      </c>
      <c r="K9" s="25" t="n">
        <v>21</v>
      </c>
      <c r="L9" s="26" t="n">
        <v>7041</v>
      </c>
      <c r="M9" s="26" t="n">
        <v>187</v>
      </c>
      <c r="N9" s="30" t="s">
        <v>120</v>
      </c>
      <c r="O9" s="26" t="n">
        <v>1605</v>
      </c>
      <c r="P9" s="26" t="n">
        <v>8100</v>
      </c>
      <c r="Q9" s="25" t="n">
        <v>24</v>
      </c>
      <c r="R9" s="26" t="n">
        <v>11788</v>
      </c>
      <c r="S9" s="26" t="n">
        <v>270</v>
      </c>
      <c r="T9" s="30" t="s">
        <v>118</v>
      </c>
      <c r="U9" s="26" t="n">
        <v>2354</v>
      </c>
      <c r="V9" s="26" t="n">
        <v>11880</v>
      </c>
      <c r="W9" s="25" t="n">
        <v>24</v>
      </c>
      <c r="X9" s="28" t="n">
        <f aca="false">IF(F9=0,"-",L9/F9)</f>
        <v>1.72658165767533</v>
      </c>
      <c r="Y9" s="28" t="n">
        <f aca="false">IF(F9=0,"-",R9/F9)</f>
        <v>2.89063266307013</v>
      </c>
      <c r="Z9" s="28" t="n">
        <f aca="false">IF(I9=0,"-",O9/I9)</f>
        <v>1.5</v>
      </c>
      <c r="AA9" s="28" t="n">
        <f aca="false">IF(I9=0,"-",U9/I9)</f>
        <v>2.2</v>
      </c>
    </row>
    <row r="10" customFormat="false" ht="15" hidden="false" customHeight="false" outlineLevel="0" collapsed="false">
      <c r="A10" s="4" t="n">
        <v>7</v>
      </c>
      <c r="B10" s="4" t="s">
        <v>52</v>
      </c>
      <c r="C10" s="4" t="n">
        <v>8</v>
      </c>
      <c r="D10" s="4" t="n">
        <v>4</v>
      </c>
      <c r="E10" s="4" t="n">
        <v>6</v>
      </c>
      <c r="F10" s="26" t="n">
        <v>7497</v>
      </c>
      <c r="G10" s="26" t="n">
        <v>122</v>
      </c>
      <c r="H10" s="30" t="s">
        <v>117</v>
      </c>
      <c r="I10" s="26" t="n">
        <v>854</v>
      </c>
      <c r="J10" s="26" t="n">
        <v>6302</v>
      </c>
      <c r="K10" s="25" t="n">
        <v>35</v>
      </c>
      <c r="L10" s="26" t="n">
        <v>24132</v>
      </c>
      <c r="M10" s="26" t="n">
        <v>280</v>
      </c>
      <c r="N10" s="30" t="s">
        <v>118</v>
      </c>
      <c r="O10" s="26" t="n">
        <v>1280</v>
      </c>
      <c r="P10" s="26" t="n">
        <v>9453</v>
      </c>
      <c r="Q10" s="25" t="n">
        <v>88</v>
      </c>
      <c r="R10" s="26" t="n">
        <v>42452</v>
      </c>
      <c r="S10" s="26" t="n">
        <v>483</v>
      </c>
      <c r="T10" s="30" t="s">
        <v>121</v>
      </c>
      <c r="U10" s="26" t="n">
        <v>1879</v>
      </c>
      <c r="V10" s="26" t="n">
        <v>13864</v>
      </c>
      <c r="W10" s="25" t="n">
        <v>140</v>
      </c>
      <c r="X10" s="28" t="n">
        <f aca="false">IF(F10=0,"-",L10/F10)</f>
        <v>3.21888755502201</v>
      </c>
      <c r="Y10" s="28" t="n">
        <f aca="false">IF(F10=0,"-",R10/F10)</f>
        <v>5.6625316793384</v>
      </c>
      <c r="Z10" s="28" t="n">
        <f aca="false">IF(I10=0,"-",O10/I10)</f>
        <v>1.49882903981265</v>
      </c>
      <c r="AA10" s="28" t="n">
        <f aca="false">IF(I10=0,"-",U10/I10)</f>
        <v>2.20023419203747</v>
      </c>
    </row>
    <row r="11" customFormat="false" ht="15" hidden="false" customHeight="false" outlineLevel="0" collapsed="false">
      <c r="A11" s="4" t="n">
        <v>8</v>
      </c>
      <c r="B11" s="4" t="s">
        <v>54</v>
      </c>
      <c r="C11" s="4" t="n">
        <v>9</v>
      </c>
      <c r="D11" s="4" t="n">
        <v>3</v>
      </c>
      <c r="E11" s="4" t="n">
        <v>5</v>
      </c>
      <c r="F11" s="26" t="n">
        <v>7078</v>
      </c>
      <c r="G11" s="26" t="n">
        <v>130</v>
      </c>
      <c r="H11" s="30" t="s">
        <v>117</v>
      </c>
      <c r="I11" s="26" t="n">
        <v>987</v>
      </c>
      <c r="J11" s="26" t="n">
        <v>6300</v>
      </c>
      <c r="K11" s="25" t="n">
        <v>28</v>
      </c>
      <c r="L11" s="26" t="n">
        <v>20908</v>
      </c>
      <c r="M11" s="26" t="n">
        <v>308</v>
      </c>
      <c r="N11" s="30" t="s">
        <v>118</v>
      </c>
      <c r="O11" s="26" t="n">
        <v>1481</v>
      </c>
      <c r="P11" s="26" t="n">
        <v>9450</v>
      </c>
      <c r="Q11" s="25" t="n">
        <v>71</v>
      </c>
      <c r="R11" s="26" t="n">
        <v>50216</v>
      </c>
      <c r="S11" s="26" t="n">
        <v>523</v>
      </c>
      <c r="T11" s="30" t="s">
        <v>121</v>
      </c>
      <c r="U11" s="26" t="n">
        <v>2171</v>
      </c>
      <c r="V11" s="26" t="n">
        <v>13860</v>
      </c>
      <c r="W11" s="25" t="n">
        <v>115</v>
      </c>
      <c r="X11" s="28" t="n">
        <f aca="false">IF(F11=0,"-",L11/F11)</f>
        <v>2.95394179146652</v>
      </c>
      <c r="Y11" s="28" t="n">
        <f aca="false">IF(F11=0,"-",R11/F11)</f>
        <v>7.09465950833569</v>
      </c>
      <c r="Z11" s="28" t="n">
        <f aca="false">IF(I11=0,"-",O11/I11)</f>
        <v>1.50050658561297</v>
      </c>
      <c r="AA11" s="28" t="n">
        <f aca="false">IF(I11=0,"-",U11/I11)</f>
        <v>2.19959473150963</v>
      </c>
    </row>
    <row r="12" customFormat="false" ht="15" hidden="false" customHeight="false" outlineLevel="0" collapsed="false">
      <c r="A12" s="4" t="n">
        <v>9</v>
      </c>
      <c r="B12" s="4" t="s">
        <v>56</v>
      </c>
      <c r="C12" s="4" t="n">
        <v>10</v>
      </c>
      <c r="D12" s="4" t="n">
        <v>4</v>
      </c>
      <c r="E12" s="4" t="n">
        <v>5</v>
      </c>
      <c r="F12" s="26" t="n">
        <v>11367</v>
      </c>
      <c r="G12" s="26" t="n">
        <v>138</v>
      </c>
      <c r="H12" s="30" t="s">
        <v>117</v>
      </c>
      <c r="I12" s="26" t="n">
        <v>1099</v>
      </c>
      <c r="J12" s="26" t="n">
        <v>7202</v>
      </c>
      <c r="K12" s="25" t="n">
        <v>42</v>
      </c>
      <c r="L12" s="26" t="n">
        <v>31672</v>
      </c>
      <c r="M12" s="26" t="n">
        <v>355</v>
      </c>
      <c r="N12" s="30" t="s">
        <v>118</v>
      </c>
      <c r="O12" s="26" t="n">
        <v>1649</v>
      </c>
      <c r="P12" s="26" t="n">
        <v>10804</v>
      </c>
      <c r="Q12" s="25" t="n">
        <v>108</v>
      </c>
      <c r="R12" s="26" t="n">
        <v>0</v>
      </c>
      <c r="S12" s="26" t="n">
        <v>600</v>
      </c>
      <c r="T12" s="30" t="s">
        <v>121</v>
      </c>
      <c r="U12" s="26" t="n">
        <v>2417</v>
      </c>
      <c r="V12" s="26" t="n">
        <v>15845</v>
      </c>
      <c r="W12" s="25" t="n">
        <v>178</v>
      </c>
      <c r="X12" s="28" t="n">
        <f aca="false">IF(F12=0,"-",L12/F12)</f>
        <v>2.78631125186945</v>
      </c>
      <c r="Y12" s="28" t="n">
        <f aca="false">IF(F12=0,"-",R12/F12)</f>
        <v>0</v>
      </c>
      <c r="Z12" s="28" t="n">
        <f aca="false">IF(I12=0,"-",O12/I12)</f>
        <v>1.50045495905369</v>
      </c>
      <c r="AA12" s="28" t="n">
        <f aca="false">IF(I12=0,"-",U12/I12)</f>
        <v>2.1992720655141</v>
      </c>
    </row>
    <row r="13" customFormat="false" ht="15" hidden="false" customHeight="false" outlineLevel="0" collapsed="false">
      <c r="A13" s="4" t="n">
        <v>10</v>
      </c>
      <c r="B13" s="4" t="s">
        <v>58</v>
      </c>
      <c r="C13" s="4" t="n">
        <v>10</v>
      </c>
      <c r="D13" s="4" t="n">
        <v>3</v>
      </c>
      <c r="E13" s="4" t="n">
        <v>4</v>
      </c>
      <c r="F13" s="26" t="n">
        <v>10624</v>
      </c>
      <c r="G13" s="26" t="n">
        <v>155</v>
      </c>
      <c r="H13" s="30" t="s">
        <v>117</v>
      </c>
      <c r="I13" s="26" t="n">
        <v>1217</v>
      </c>
      <c r="J13" s="26" t="n">
        <v>7560</v>
      </c>
      <c r="K13" s="25" t="n">
        <v>33</v>
      </c>
      <c r="L13" s="26" t="n">
        <v>25785</v>
      </c>
      <c r="M13" s="26" t="n">
        <v>394</v>
      </c>
      <c r="N13" s="30" t="s">
        <v>118</v>
      </c>
      <c r="O13" s="26" t="n">
        <v>1825</v>
      </c>
      <c r="P13" s="26" t="n">
        <v>11340</v>
      </c>
      <c r="Q13" s="25" t="n">
        <v>87</v>
      </c>
      <c r="R13" s="26" t="n">
        <v>0</v>
      </c>
      <c r="S13" s="26" t="n">
        <v>661</v>
      </c>
      <c r="T13" s="30" t="s">
        <v>122</v>
      </c>
      <c r="U13" s="26" t="n">
        <v>2678</v>
      </c>
      <c r="V13" s="26" t="n">
        <v>16632</v>
      </c>
      <c r="W13" s="25" t="n">
        <v>142</v>
      </c>
      <c r="X13" s="28" t="n">
        <f aca="false">IF(F13=0,"-",L13/F13)</f>
        <v>2.42705195783133</v>
      </c>
      <c r="Y13" s="28" t="n">
        <f aca="false">IF(F13=0,"-",R13/F13)</f>
        <v>0</v>
      </c>
      <c r="Z13" s="28" t="n">
        <f aca="false">IF(I13=0,"-",O13/I13)</f>
        <v>1.49958915365653</v>
      </c>
      <c r="AA13" s="28" t="n">
        <f aca="false">IF(I13=0,"-",U13/I13)</f>
        <v>2.20049301561216</v>
      </c>
    </row>
    <row r="14" customFormat="false" ht="15" hidden="false" customHeight="false" outlineLevel="0" collapsed="false">
      <c r="A14" s="4" t="n">
        <v>11</v>
      </c>
      <c r="B14" s="4" t="s">
        <v>60</v>
      </c>
      <c r="C14" s="4" t="n">
        <v>11</v>
      </c>
      <c r="D14" s="4" t="n">
        <v>3</v>
      </c>
      <c r="E14" s="4" t="n">
        <v>4</v>
      </c>
      <c r="F14" s="26" t="n">
        <v>8907</v>
      </c>
      <c r="G14" s="26" t="n">
        <v>163</v>
      </c>
      <c r="H14" s="30" t="s">
        <v>117</v>
      </c>
      <c r="I14" s="26" t="n">
        <v>1368</v>
      </c>
      <c r="J14" s="26" t="n">
        <v>8280</v>
      </c>
      <c r="K14" s="25" t="n">
        <v>26</v>
      </c>
      <c r="L14" s="26" t="n">
        <v>21252</v>
      </c>
      <c r="M14" s="26" t="n">
        <v>365</v>
      </c>
      <c r="N14" s="30" t="s">
        <v>118</v>
      </c>
      <c r="O14" s="26" t="n">
        <v>2052</v>
      </c>
      <c r="P14" s="26" t="n">
        <v>12420</v>
      </c>
      <c r="Q14" s="25" t="n">
        <v>69</v>
      </c>
      <c r="R14" s="26" t="n">
        <v>0</v>
      </c>
      <c r="S14" s="26" t="n">
        <v>605</v>
      </c>
      <c r="T14" s="30" t="s">
        <v>121</v>
      </c>
      <c r="U14" s="26" t="n">
        <v>3010</v>
      </c>
      <c r="V14" s="26" t="n">
        <v>18216</v>
      </c>
      <c r="W14" s="25" t="n">
        <v>116</v>
      </c>
      <c r="X14" s="28" t="n">
        <f aca="false">IF(F14=0,"-",L14/F14)</f>
        <v>2.38598854833277</v>
      </c>
      <c r="Y14" s="28" t="n">
        <f aca="false">IF(F14=0,"-",R14/F14)</f>
        <v>0</v>
      </c>
      <c r="Z14" s="28" t="n">
        <f aca="false">IF(I14=0,"-",O14/I14)</f>
        <v>1.5</v>
      </c>
      <c r="AA14" s="28" t="n">
        <f aca="false">IF(I14=0,"-",U14/I14)</f>
        <v>2.20029239766082</v>
      </c>
    </row>
    <row r="15" customFormat="false" ht="15" hidden="false" customHeight="false" outlineLevel="0" collapsed="false">
      <c r="A15" s="4" t="n">
        <v>12</v>
      </c>
      <c r="B15" s="4" t="s">
        <v>62</v>
      </c>
      <c r="C15" s="4" t="n">
        <v>12</v>
      </c>
      <c r="D15" s="4" t="n">
        <v>3</v>
      </c>
      <c r="E15" s="4" t="n">
        <v>4</v>
      </c>
      <c r="F15" s="26" t="n">
        <v>11920</v>
      </c>
      <c r="G15" s="26" t="n">
        <v>170</v>
      </c>
      <c r="H15" s="30" t="s">
        <v>117</v>
      </c>
      <c r="I15" s="26" t="n">
        <v>1529</v>
      </c>
      <c r="J15" s="26" t="n">
        <v>9360</v>
      </c>
      <c r="K15" s="25" t="n">
        <v>32</v>
      </c>
      <c r="L15" s="26" t="n">
        <v>26254</v>
      </c>
      <c r="M15" s="26" t="n">
        <v>399</v>
      </c>
      <c r="N15" s="30" t="s">
        <v>118</v>
      </c>
      <c r="O15" s="26" t="n">
        <v>2293</v>
      </c>
      <c r="P15" s="26" t="n">
        <v>14040</v>
      </c>
      <c r="Q15" s="25" t="n">
        <v>83</v>
      </c>
      <c r="R15" s="26" t="n">
        <v>0</v>
      </c>
      <c r="S15" s="26" t="n">
        <v>653</v>
      </c>
      <c r="T15" s="30" t="s">
        <v>122</v>
      </c>
      <c r="U15" s="26" t="n">
        <v>3364</v>
      </c>
      <c r="V15" s="26" t="n">
        <v>20592</v>
      </c>
      <c r="W15" s="25" t="n">
        <v>138</v>
      </c>
      <c r="X15" s="28" t="n">
        <f aca="false">IF(F15=0,"-",L15/F15)</f>
        <v>2.20251677852349</v>
      </c>
      <c r="Y15" s="28" t="n">
        <f aca="false">IF(F15=0,"-",R15/F15)</f>
        <v>0</v>
      </c>
      <c r="Z15" s="28" t="n">
        <f aca="false">IF(I15=0,"-",O15/I15)</f>
        <v>1.49967298888162</v>
      </c>
      <c r="AA15" s="28" t="n">
        <f aca="false">IF(I15=0,"-",U15/I15)</f>
        <v>2.20013080444735</v>
      </c>
    </row>
    <row r="16" customFormat="false" ht="15" hidden="false" customHeight="false" outlineLevel="0" collapsed="false">
      <c r="A16" s="4" t="n">
        <v>13</v>
      </c>
      <c r="B16" s="4" t="s">
        <v>64</v>
      </c>
      <c r="C16" s="4" t="n">
        <v>13</v>
      </c>
      <c r="D16" s="4" t="n">
        <v>2</v>
      </c>
      <c r="E16" s="4" t="n">
        <v>2</v>
      </c>
      <c r="F16" s="26" t="n">
        <v>6628</v>
      </c>
      <c r="G16" s="26" t="n">
        <v>187</v>
      </c>
      <c r="H16" s="30" t="s">
        <v>120</v>
      </c>
      <c r="I16" s="26" t="n">
        <v>1659</v>
      </c>
      <c r="J16" s="26" t="n">
        <v>10800</v>
      </c>
      <c r="K16" s="25" t="n">
        <v>35</v>
      </c>
      <c r="L16" s="26" t="n">
        <v>0</v>
      </c>
      <c r="M16" s="26" t="n">
        <v>479</v>
      </c>
      <c r="N16" s="30" t="s">
        <v>121</v>
      </c>
      <c r="O16" s="26" t="n">
        <v>2488</v>
      </c>
      <c r="P16" s="26" t="n">
        <v>16200</v>
      </c>
      <c r="Q16" s="25" t="n">
        <v>91</v>
      </c>
      <c r="R16" s="26" t="n">
        <v>0</v>
      </c>
      <c r="S16" s="26" t="n">
        <v>775</v>
      </c>
      <c r="T16" s="30" t="s">
        <v>122</v>
      </c>
      <c r="U16" s="26" t="n">
        <v>3650</v>
      </c>
      <c r="V16" s="26" t="n">
        <v>23760</v>
      </c>
      <c r="W16" s="25" t="n">
        <v>154</v>
      </c>
      <c r="X16" s="28" t="n">
        <f aca="false">IF(F16=0,"-",L16/F16)</f>
        <v>0</v>
      </c>
      <c r="Y16" s="28" t="n">
        <f aca="false">IF(F16=0,"-",R16/F16)</f>
        <v>0</v>
      </c>
      <c r="Z16" s="28" t="n">
        <f aca="false">IF(I16=0,"-",O16/I16)</f>
        <v>1.49969861362266</v>
      </c>
      <c r="AA16" s="28" t="n">
        <f aca="false">IF(I16=0,"-",U16/I16)</f>
        <v>2.20012055455093</v>
      </c>
    </row>
    <row r="17" customFormat="false" ht="15" hidden="false" customHeight="false" outlineLevel="0" collapsed="false">
      <c r="A17" s="4" t="n">
        <v>14</v>
      </c>
      <c r="B17" s="4" t="s">
        <v>66</v>
      </c>
      <c r="C17" s="4" t="n">
        <v>13</v>
      </c>
      <c r="D17" s="4" t="n">
        <v>3</v>
      </c>
      <c r="E17" s="4" t="n">
        <v>6</v>
      </c>
      <c r="F17" s="26" t="n">
        <v>25415</v>
      </c>
      <c r="G17" s="26" t="n">
        <v>194</v>
      </c>
      <c r="H17" s="30" t="s">
        <v>120</v>
      </c>
      <c r="I17" s="26" t="n">
        <v>1796</v>
      </c>
      <c r="J17" s="26" t="n">
        <v>11700</v>
      </c>
      <c r="K17" s="25" t="n">
        <v>64</v>
      </c>
      <c r="L17" s="26" t="n">
        <v>19818</v>
      </c>
      <c r="M17" s="26" t="n">
        <v>407</v>
      </c>
      <c r="N17" s="30" t="s">
        <v>118</v>
      </c>
      <c r="O17" s="26" t="n">
        <v>2694</v>
      </c>
      <c r="P17" s="26" t="n">
        <v>17550</v>
      </c>
      <c r="Q17" s="25" t="n">
        <v>178</v>
      </c>
      <c r="R17" s="26" t="n">
        <v>0</v>
      </c>
      <c r="S17" s="26" t="n">
        <v>654</v>
      </c>
      <c r="T17" s="30" t="s">
        <v>122</v>
      </c>
      <c r="U17" s="26" t="n">
        <v>3951</v>
      </c>
      <c r="V17" s="26" t="n">
        <v>25740</v>
      </c>
      <c r="W17" s="25" t="n">
        <v>304</v>
      </c>
      <c r="X17" s="28" t="n">
        <f aca="false">IF(F17=0,"-",L17/F17)</f>
        <v>0.779775722998229</v>
      </c>
      <c r="Y17" s="28" t="n">
        <f aca="false">IF(F17=0,"-",R17/F17)</f>
        <v>0</v>
      </c>
      <c r="Z17" s="28" t="n">
        <f aca="false">IF(I17=0,"-",O17/I17)</f>
        <v>1.5</v>
      </c>
      <c r="AA17" s="28" t="n">
        <f aca="false">IF(I17=0,"-",U17/I17)</f>
        <v>2.19988864142539</v>
      </c>
    </row>
    <row r="18" customFormat="false" ht="15" hidden="false" customHeight="false" outlineLevel="0" collapsed="false">
      <c r="A18" s="4" t="n">
        <v>15</v>
      </c>
      <c r="B18" s="4" t="s">
        <v>68</v>
      </c>
      <c r="C18" s="4" t="n">
        <v>14</v>
      </c>
      <c r="D18" s="4" t="n">
        <v>3</v>
      </c>
      <c r="E18" s="4" t="n">
        <v>7</v>
      </c>
      <c r="F18" s="26" t="n">
        <v>16500</v>
      </c>
      <c r="G18" s="26" t="n">
        <v>201</v>
      </c>
      <c r="H18" s="30" t="s">
        <v>120</v>
      </c>
      <c r="I18" s="26" t="n">
        <v>1969</v>
      </c>
      <c r="J18" s="26" t="n">
        <v>12600</v>
      </c>
      <c r="K18" s="25" t="n">
        <v>43</v>
      </c>
      <c r="L18" s="26" t="n">
        <v>46003</v>
      </c>
      <c r="M18" s="26" t="n">
        <v>376</v>
      </c>
      <c r="N18" s="30" t="s">
        <v>118</v>
      </c>
      <c r="O18" s="26" t="n">
        <v>2954</v>
      </c>
      <c r="P18" s="26" t="n">
        <v>18900</v>
      </c>
      <c r="Q18" s="25" t="n">
        <v>122</v>
      </c>
      <c r="R18" s="26" t="n">
        <v>0</v>
      </c>
      <c r="S18" s="26" t="n">
        <v>594</v>
      </c>
      <c r="T18" s="30" t="s">
        <v>121</v>
      </c>
      <c r="U18" s="26" t="n">
        <v>4331</v>
      </c>
      <c r="V18" s="26" t="n">
        <v>27720</v>
      </c>
      <c r="W18" s="25" t="n">
        <v>210</v>
      </c>
      <c r="X18" s="28" t="n">
        <f aca="false">IF(F18=0,"-",L18/F18)</f>
        <v>2.78806060606061</v>
      </c>
      <c r="Y18" s="28" t="n">
        <f aca="false">IF(F18=0,"-",R18/F18)</f>
        <v>0</v>
      </c>
      <c r="Z18" s="28" t="n">
        <f aca="false">IF(I18=0,"-",O18/I18)</f>
        <v>1.50025393600813</v>
      </c>
      <c r="AA18" s="28" t="n">
        <f aca="false">IF(I18=0,"-",U18/I18)</f>
        <v>2.199593702387</v>
      </c>
    </row>
    <row r="19" customFormat="false" ht="15" hidden="false" customHeight="false" outlineLevel="0" collapsed="false">
      <c r="A19" s="4" t="n">
        <v>16</v>
      </c>
      <c r="B19" s="4" t="s">
        <v>70</v>
      </c>
      <c r="C19" s="4" t="n">
        <v>15</v>
      </c>
      <c r="D19" s="4" t="n">
        <v>3</v>
      </c>
      <c r="E19" s="4" t="n">
        <v>6</v>
      </c>
      <c r="F19" s="26" t="n">
        <v>20183</v>
      </c>
      <c r="G19" s="26" t="n">
        <v>217</v>
      </c>
      <c r="H19" s="30" t="s">
        <v>120</v>
      </c>
      <c r="I19" s="26" t="n">
        <v>2144</v>
      </c>
      <c r="J19" s="26" t="n">
        <v>13502</v>
      </c>
      <c r="K19" s="25" t="n">
        <v>45</v>
      </c>
      <c r="L19" s="26" t="n">
        <v>39424</v>
      </c>
      <c r="M19" s="26" t="n">
        <v>396</v>
      </c>
      <c r="N19" s="30" t="s">
        <v>118</v>
      </c>
      <c r="O19" s="26" t="n">
        <v>3216</v>
      </c>
      <c r="P19" s="26" t="n">
        <v>20253</v>
      </c>
      <c r="Q19" s="25" t="n">
        <v>130</v>
      </c>
      <c r="R19" s="26" t="n">
        <v>0</v>
      </c>
      <c r="S19" s="26" t="n">
        <v>614</v>
      </c>
      <c r="T19" s="30" t="s">
        <v>121</v>
      </c>
      <c r="U19" s="26" t="n">
        <v>4717</v>
      </c>
      <c r="V19" s="26" t="n">
        <v>29704</v>
      </c>
      <c r="W19" s="25" t="n">
        <v>225</v>
      </c>
      <c r="X19" s="28" t="n">
        <f aca="false">IF(F19=0,"-",L19/F19)</f>
        <v>1.95332705742457</v>
      </c>
      <c r="Y19" s="28" t="n">
        <f aca="false">IF(F19=0,"-",R19/F19)</f>
        <v>0</v>
      </c>
      <c r="Z19" s="28" t="n">
        <f aca="false">IF(I19=0,"-",O19/I19)</f>
        <v>1.5</v>
      </c>
      <c r="AA19" s="28" t="n">
        <f aca="false">IF(I19=0,"-",U19/I19)</f>
        <v>2.20009328358209</v>
      </c>
    </row>
    <row r="20" customFormat="false" ht="15" hidden="false" customHeight="false" outlineLevel="0" collapsed="false">
      <c r="A20" s="4" t="n">
        <v>17</v>
      </c>
      <c r="B20" s="4" t="s">
        <v>72</v>
      </c>
      <c r="C20" s="4" t="n">
        <v>16</v>
      </c>
      <c r="D20" s="4" t="n">
        <v>3</v>
      </c>
      <c r="E20" s="4" t="n">
        <v>6</v>
      </c>
      <c r="F20" s="26" t="n">
        <v>26000</v>
      </c>
      <c r="G20" s="26" t="n">
        <v>224</v>
      </c>
      <c r="H20" s="30" t="s">
        <v>120</v>
      </c>
      <c r="I20" s="26" t="n">
        <v>2294</v>
      </c>
      <c r="J20" s="26" t="n">
        <v>14400</v>
      </c>
      <c r="K20" s="25" t="n">
        <v>51</v>
      </c>
      <c r="L20" s="26" t="n">
        <v>0</v>
      </c>
      <c r="M20" s="26" t="n">
        <v>457</v>
      </c>
      <c r="N20" s="30" t="s">
        <v>121</v>
      </c>
      <c r="O20" s="26" t="n">
        <v>3441</v>
      </c>
      <c r="P20" s="26" t="n">
        <v>21600</v>
      </c>
      <c r="Q20" s="25" t="n">
        <v>149</v>
      </c>
      <c r="R20" s="26" t="n">
        <v>0</v>
      </c>
      <c r="S20" s="26" t="n">
        <v>698</v>
      </c>
      <c r="T20" s="30" t="s">
        <v>122</v>
      </c>
      <c r="U20" s="26" t="n">
        <v>5047</v>
      </c>
      <c r="V20" s="26" t="n">
        <v>31680</v>
      </c>
      <c r="W20" s="25" t="n">
        <v>261</v>
      </c>
      <c r="X20" s="28" t="n">
        <f aca="false">IF(F20=0,"-",L20/F20)</f>
        <v>0</v>
      </c>
      <c r="Y20" s="28" t="n">
        <f aca="false">IF(F20=0,"-",R20/F20)</f>
        <v>0</v>
      </c>
      <c r="Z20" s="28" t="n">
        <f aca="false">IF(I20=0,"-",O20/I20)</f>
        <v>1.5</v>
      </c>
      <c r="AA20" s="28" t="n">
        <f aca="false">IF(I20=0,"-",U20/I20)</f>
        <v>2.20008718395815</v>
      </c>
    </row>
    <row r="21" customFormat="false" ht="15" hidden="false" customHeight="false" outlineLevel="0" collapsed="false">
      <c r="A21" s="4" t="n">
        <v>18</v>
      </c>
      <c r="B21" s="4" t="s">
        <v>74</v>
      </c>
      <c r="C21" s="4" t="n">
        <v>16</v>
      </c>
      <c r="D21" s="4" t="n">
        <v>2</v>
      </c>
      <c r="E21" s="4" t="n">
        <v>1</v>
      </c>
      <c r="F21" s="26" t="n">
        <v>7473</v>
      </c>
      <c r="G21" s="26" t="n">
        <v>231</v>
      </c>
      <c r="H21" s="30" t="s">
        <v>120</v>
      </c>
      <c r="I21" s="26" t="n">
        <v>2439</v>
      </c>
      <c r="J21" s="26" t="n">
        <v>15300</v>
      </c>
      <c r="K21" s="25" t="n">
        <v>39</v>
      </c>
      <c r="L21" s="26" t="n">
        <v>0</v>
      </c>
      <c r="M21" s="26" t="n">
        <v>555</v>
      </c>
      <c r="N21" s="30" t="s">
        <v>121</v>
      </c>
      <c r="O21" s="26" t="n">
        <v>3659</v>
      </c>
      <c r="P21" s="26" t="n">
        <v>22950</v>
      </c>
      <c r="Q21" s="25" t="n">
        <v>110</v>
      </c>
      <c r="R21" s="26" t="n">
        <v>0</v>
      </c>
      <c r="S21" s="26" t="n">
        <v>837</v>
      </c>
      <c r="T21" s="30" t="s">
        <v>122</v>
      </c>
      <c r="U21" s="26" t="n">
        <v>5366</v>
      </c>
      <c r="V21" s="26" t="n">
        <v>33660</v>
      </c>
      <c r="W21" s="25" t="n">
        <v>193</v>
      </c>
      <c r="X21" s="28" t="n">
        <f aca="false">IF(F21=0,"-",L21/F21)</f>
        <v>0</v>
      </c>
      <c r="Y21" s="28" t="n">
        <f aca="false">IF(F21=0,"-",R21/F21)</f>
        <v>0</v>
      </c>
      <c r="Z21" s="28" t="n">
        <f aca="false">IF(I21=0,"-",O21/I21)</f>
        <v>1.50020500205002</v>
      </c>
      <c r="AA21" s="28" t="n">
        <f aca="false">IF(I21=0,"-",U21/I21)</f>
        <v>2.20008200082001</v>
      </c>
    </row>
    <row r="22" customFormat="false" ht="15" hidden="false" customHeight="false" outlineLevel="0" collapsed="false">
      <c r="A22" s="4" t="n">
        <v>19</v>
      </c>
      <c r="B22" s="4" t="s">
        <v>76</v>
      </c>
      <c r="C22" s="4" t="n">
        <v>17</v>
      </c>
      <c r="D22" s="4" t="n">
        <v>3</v>
      </c>
      <c r="E22" s="4" t="n">
        <v>5</v>
      </c>
      <c r="F22" s="26" t="n">
        <v>25182</v>
      </c>
      <c r="G22" s="26" t="n">
        <v>247</v>
      </c>
      <c r="H22" s="30" t="s">
        <v>120</v>
      </c>
      <c r="I22" s="26" t="n">
        <v>2631</v>
      </c>
      <c r="J22" s="26" t="n">
        <v>16200</v>
      </c>
      <c r="K22" s="25" t="n">
        <v>68</v>
      </c>
      <c r="L22" s="26" t="n">
        <v>0</v>
      </c>
      <c r="M22" s="26" t="n">
        <v>507</v>
      </c>
      <c r="N22" s="30" t="s">
        <v>121</v>
      </c>
      <c r="O22" s="26" t="n">
        <v>3946</v>
      </c>
      <c r="P22" s="26" t="n">
        <v>24299</v>
      </c>
      <c r="Q22" s="25" t="n">
        <v>204</v>
      </c>
      <c r="R22" s="26" t="n">
        <v>0</v>
      </c>
      <c r="S22" s="26" t="n">
        <v>754</v>
      </c>
      <c r="T22" s="30" t="s">
        <v>122</v>
      </c>
      <c r="U22" s="26" t="n">
        <v>5788</v>
      </c>
      <c r="V22" s="26" t="n">
        <v>35640</v>
      </c>
      <c r="W22" s="25" t="n">
        <v>362</v>
      </c>
      <c r="X22" s="28" t="n">
        <f aca="false">IF(F22=0,"-",L22/F22)</f>
        <v>0</v>
      </c>
      <c r="Y22" s="28" t="n">
        <f aca="false">IF(F22=0,"-",R22/F22)</f>
        <v>0</v>
      </c>
      <c r="Z22" s="28" t="n">
        <f aca="false">IF(I22=0,"-",O22/I22)</f>
        <v>1.4998099581908</v>
      </c>
      <c r="AA22" s="28" t="n">
        <f aca="false">IF(I22=0,"-",U22/I22)</f>
        <v>2.19992398327632</v>
      </c>
    </row>
    <row r="23" customFormat="false" ht="15" hidden="false" customHeight="false" outlineLevel="0" collapsed="false">
      <c r="A23" s="4" t="n">
        <v>20</v>
      </c>
      <c r="B23" s="4" t="s">
        <v>78</v>
      </c>
      <c r="C23" s="4" t="n">
        <v>18</v>
      </c>
      <c r="D23" s="4" t="n">
        <v>3</v>
      </c>
      <c r="E23" s="4" t="n">
        <v>5</v>
      </c>
      <c r="F23" s="26" t="n">
        <v>24140</v>
      </c>
      <c r="G23" s="26" t="n">
        <v>254</v>
      </c>
      <c r="H23" s="30" t="s">
        <v>120</v>
      </c>
      <c r="I23" s="26" t="n">
        <v>2824</v>
      </c>
      <c r="J23" s="26" t="n">
        <v>17102</v>
      </c>
      <c r="K23" s="25" t="n">
        <v>72</v>
      </c>
      <c r="L23" s="26" t="n">
        <v>0</v>
      </c>
      <c r="M23" s="26" t="n">
        <v>284</v>
      </c>
      <c r="N23" s="30" t="s">
        <v>118</v>
      </c>
      <c r="O23" s="26" t="n">
        <v>4235</v>
      </c>
      <c r="P23" s="26" t="n">
        <v>25653</v>
      </c>
      <c r="Q23" s="25" t="n">
        <v>219</v>
      </c>
      <c r="R23" s="26" t="n">
        <v>0</v>
      </c>
      <c r="S23" s="26" t="n">
        <v>317</v>
      </c>
      <c r="T23" s="30" t="s">
        <v>118</v>
      </c>
      <c r="U23" s="26" t="n">
        <v>6213</v>
      </c>
      <c r="V23" s="26" t="n">
        <v>37624</v>
      </c>
      <c r="W23" s="25" t="n">
        <v>392</v>
      </c>
      <c r="X23" s="28" t="n">
        <f aca="false">IF(F23=0,"-",L23/F23)</f>
        <v>0</v>
      </c>
      <c r="Y23" s="28" t="n">
        <f aca="false">IF(F23=0,"-",R23/F23)</f>
        <v>0</v>
      </c>
      <c r="Z23" s="28" t="n">
        <f aca="false">IF(I23=0,"-",O23/I23)</f>
        <v>1.49964589235127</v>
      </c>
      <c r="AA23" s="28" t="n">
        <f aca="false">IF(I23=0,"-",U23/I23)</f>
        <v>2.20007082152975</v>
      </c>
    </row>
    <row r="24" customFormat="false" ht="15" hidden="false" customHeight="false" outlineLevel="0" collapsed="false">
      <c r="A24" s="4" t="n">
        <v>21</v>
      </c>
      <c r="B24" s="4" t="s">
        <v>80</v>
      </c>
      <c r="C24" s="4" t="n">
        <v>19</v>
      </c>
      <c r="D24" s="4" t="n">
        <v>3</v>
      </c>
      <c r="E24" s="4" t="n">
        <v>5</v>
      </c>
      <c r="F24" s="26" t="n">
        <v>27194</v>
      </c>
      <c r="G24" s="26" t="n">
        <v>260</v>
      </c>
      <c r="H24" s="30" t="s">
        <v>120</v>
      </c>
      <c r="I24" s="26" t="n">
        <v>2990</v>
      </c>
      <c r="J24" s="26" t="n">
        <v>18000</v>
      </c>
      <c r="K24" s="25" t="n">
        <v>69</v>
      </c>
      <c r="L24" s="26" t="n">
        <v>0</v>
      </c>
      <c r="M24" s="26" t="n">
        <v>516</v>
      </c>
      <c r="N24" s="30" t="s">
        <v>121</v>
      </c>
      <c r="O24" s="26" t="n">
        <v>4485</v>
      </c>
      <c r="P24" s="26" t="n">
        <v>27000</v>
      </c>
      <c r="Q24" s="25" t="n">
        <v>214</v>
      </c>
      <c r="R24" s="26" t="n">
        <v>0</v>
      </c>
      <c r="S24" s="26" t="n">
        <v>752</v>
      </c>
      <c r="T24" s="30" t="s">
        <v>122</v>
      </c>
      <c r="U24" s="26" t="n">
        <v>6578</v>
      </c>
      <c r="V24" s="26" t="n">
        <v>39600</v>
      </c>
      <c r="W24" s="25" t="n">
        <v>384</v>
      </c>
      <c r="X24" s="28" t="n">
        <f aca="false">IF(F24=0,"-",L24/F24)</f>
        <v>0</v>
      </c>
      <c r="Y24" s="28" t="n">
        <f aca="false">IF(F24=0,"-",R24/F24)</f>
        <v>0</v>
      </c>
      <c r="Z24" s="28" t="n">
        <f aca="false">IF(I24=0,"-",O24/I24)</f>
        <v>1.5</v>
      </c>
      <c r="AA24" s="28" t="n">
        <f aca="false">IF(I24=0,"-",U24/I24)</f>
        <v>2.2</v>
      </c>
    </row>
    <row r="25" customFormat="false" ht="15" hidden="false" customHeight="false" outlineLevel="0" collapsed="false">
      <c r="A25" s="4" t="n">
        <v>22</v>
      </c>
      <c r="B25" s="4" t="s">
        <v>82</v>
      </c>
      <c r="C25" s="4" t="n">
        <v>19</v>
      </c>
      <c r="D25" s="4" t="n">
        <v>3</v>
      </c>
      <c r="E25" s="4" t="n">
        <v>5</v>
      </c>
      <c r="F25" s="26" t="n">
        <v>30237</v>
      </c>
      <c r="G25" s="26" t="n">
        <v>276</v>
      </c>
      <c r="H25" s="30" t="s">
        <v>118</v>
      </c>
      <c r="I25" s="26" t="n">
        <v>3151</v>
      </c>
      <c r="J25" s="26" t="n">
        <v>18898</v>
      </c>
      <c r="K25" s="25" t="n">
        <v>88</v>
      </c>
      <c r="L25" s="26" t="n">
        <v>0</v>
      </c>
      <c r="M25" s="26" t="n">
        <v>518</v>
      </c>
      <c r="N25" s="30" t="s">
        <v>121</v>
      </c>
      <c r="O25" s="26" t="n">
        <v>4727</v>
      </c>
      <c r="P25" s="26" t="n">
        <v>28347</v>
      </c>
      <c r="Q25" s="25" t="n">
        <v>276</v>
      </c>
      <c r="R25" s="26" t="n">
        <v>0</v>
      </c>
      <c r="S25" s="26" t="n">
        <v>747</v>
      </c>
      <c r="T25" s="30" t="s">
        <v>122</v>
      </c>
      <c r="U25" s="26" t="n">
        <v>6932</v>
      </c>
      <c r="V25" s="26" t="n">
        <v>41576</v>
      </c>
      <c r="W25" s="25" t="n">
        <v>499</v>
      </c>
      <c r="X25" s="28" t="n">
        <f aca="false">IF(F25=0,"-",L25/F25)</f>
        <v>0</v>
      </c>
      <c r="Y25" s="28" t="n">
        <f aca="false">IF(F25=0,"-",R25/F25)</f>
        <v>0</v>
      </c>
      <c r="Z25" s="28" t="n">
        <f aca="false">IF(I25=0,"-",O25/I25)</f>
        <v>1.5001586797842</v>
      </c>
      <c r="AA25" s="28" t="n">
        <f aca="false">IF(I25=0,"-",U25/I25)</f>
        <v>2.19993652808632</v>
      </c>
    </row>
    <row r="26" customFormat="false" ht="15" hidden="false" customHeight="false" outlineLevel="0" collapsed="false">
      <c r="A26" s="4" t="n">
        <v>23</v>
      </c>
      <c r="B26" s="4" t="s">
        <v>84</v>
      </c>
      <c r="C26" s="4" t="n">
        <v>20</v>
      </c>
      <c r="D26" s="4" t="n">
        <v>3</v>
      </c>
      <c r="E26" s="4" t="n">
        <v>5</v>
      </c>
      <c r="F26" s="26" t="n">
        <v>30106</v>
      </c>
      <c r="G26" s="26" t="n">
        <v>283</v>
      </c>
      <c r="H26" s="30" t="s">
        <v>118</v>
      </c>
      <c r="I26" s="26" t="n">
        <v>3358</v>
      </c>
      <c r="J26" s="26" t="n">
        <v>19800</v>
      </c>
      <c r="K26" s="25" t="n">
        <v>89</v>
      </c>
      <c r="L26" s="26" t="n">
        <v>0</v>
      </c>
      <c r="M26" s="26" t="n">
        <v>535</v>
      </c>
      <c r="N26" s="30" t="s">
        <v>121</v>
      </c>
      <c r="O26" s="26" t="n">
        <v>5037</v>
      </c>
      <c r="P26" s="26" t="n">
        <v>29701</v>
      </c>
      <c r="Q26" s="25" t="n">
        <v>283</v>
      </c>
      <c r="R26" s="26" t="n">
        <v>0</v>
      </c>
      <c r="S26" s="26" t="n">
        <v>773</v>
      </c>
      <c r="T26" s="30" t="s">
        <v>122</v>
      </c>
      <c r="U26" s="26" t="n">
        <v>7388</v>
      </c>
      <c r="V26" s="26" t="n">
        <v>43560</v>
      </c>
      <c r="W26" s="25" t="n">
        <v>515</v>
      </c>
      <c r="X26" s="28" t="n">
        <f aca="false">IF(F26=0,"-",L26/F26)</f>
        <v>0</v>
      </c>
      <c r="Y26" s="28" t="n">
        <f aca="false">IF(F26=0,"-",R26/F26)</f>
        <v>0</v>
      </c>
      <c r="Z26" s="28" t="n">
        <f aca="false">IF(I26=0,"-",O26/I26)</f>
        <v>1.5</v>
      </c>
      <c r="AA26" s="28" t="n">
        <f aca="false">IF(I26=0,"-",U26/I26)</f>
        <v>2.20011911852293</v>
      </c>
    </row>
    <row r="27" customFormat="false" ht="15" hidden="false" customHeight="false" outlineLevel="0" collapsed="false">
      <c r="A27" s="4" t="n">
        <v>24</v>
      </c>
      <c r="B27" s="4" t="s">
        <v>86</v>
      </c>
      <c r="C27" s="4" t="n">
        <v>21</v>
      </c>
      <c r="D27" s="4" t="n">
        <v>3</v>
      </c>
      <c r="E27" s="4" t="n">
        <v>4</v>
      </c>
      <c r="F27" s="26" t="n">
        <v>26424</v>
      </c>
      <c r="G27" s="26" t="n">
        <v>290</v>
      </c>
      <c r="H27" s="30" t="s">
        <v>118</v>
      </c>
      <c r="I27" s="26" t="n">
        <v>3568</v>
      </c>
      <c r="J27" s="26" t="n">
        <v>21600</v>
      </c>
      <c r="K27" s="25" t="n">
        <v>108</v>
      </c>
      <c r="L27" s="26" t="n">
        <v>0</v>
      </c>
      <c r="M27" s="26" t="n">
        <v>656</v>
      </c>
      <c r="N27" s="30" t="s">
        <v>122</v>
      </c>
      <c r="O27" s="26" t="n">
        <v>5352</v>
      </c>
      <c r="P27" s="26" t="n">
        <v>32400</v>
      </c>
      <c r="Q27" s="25" t="n">
        <v>348</v>
      </c>
      <c r="R27" s="26" t="n">
        <v>0</v>
      </c>
      <c r="S27" s="26" t="n">
        <v>940</v>
      </c>
      <c r="T27" s="30" t="s">
        <v>122</v>
      </c>
      <c r="U27" s="26" t="n">
        <v>7850</v>
      </c>
      <c r="V27" s="26" t="n">
        <v>47520</v>
      </c>
      <c r="W27" s="25" t="n">
        <v>639</v>
      </c>
      <c r="X27" s="28" t="n">
        <f aca="false">IF(F27=0,"-",L27/F27)</f>
        <v>0</v>
      </c>
      <c r="Y27" s="28" t="n">
        <f aca="false">IF(F27=0,"-",R27/F27)</f>
        <v>0</v>
      </c>
      <c r="Z27" s="28" t="n">
        <f aca="false">IF(I27=0,"-",O27/I27)</f>
        <v>1.5</v>
      </c>
      <c r="AA27" s="28" t="n">
        <f aca="false">IF(I27=0,"-",U27/I27)</f>
        <v>2.20011210762332</v>
      </c>
    </row>
    <row r="28" customFormat="false" ht="15" hidden="false" customHeight="false" outlineLevel="0" collapsed="false">
      <c r="A28" s="4" t="n">
        <v>25</v>
      </c>
      <c r="B28" s="4" t="s">
        <v>88</v>
      </c>
      <c r="C28" s="4" t="n">
        <v>22</v>
      </c>
      <c r="D28" s="4" t="n">
        <v>3</v>
      </c>
      <c r="E28" s="4" t="n">
        <v>5</v>
      </c>
      <c r="F28" s="26" t="n">
        <v>36166</v>
      </c>
      <c r="G28" s="26" t="n">
        <v>305</v>
      </c>
      <c r="H28" s="30" t="s">
        <v>118</v>
      </c>
      <c r="I28" s="26" t="n">
        <v>3743</v>
      </c>
      <c r="J28" s="26" t="n">
        <v>23400</v>
      </c>
      <c r="K28" s="25" t="n">
        <v>93</v>
      </c>
      <c r="L28" s="26" t="n">
        <v>0</v>
      </c>
      <c r="M28" s="26" t="n">
        <v>593</v>
      </c>
      <c r="N28" s="30" t="s">
        <v>121</v>
      </c>
      <c r="O28" s="26" t="n">
        <v>5614</v>
      </c>
      <c r="P28" s="26" t="n">
        <v>35099</v>
      </c>
      <c r="Q28" s="25" t="n">
        <v>304</v>
      </c>
      <c r="R28" s="26" t="n">
        <v>0</v>
      </c>
      <c r="S28" s="26" t="n">
        <v>840</v>
      </c>
      <c r="T28" s="30" t="s">
        <v>122</v>
      </c>
      <c r="U28" s="26" t="n">
        <v>8235</v>
      </c>
      <c r="V28" s="26" t="n">
        <v>51480</v>
      </c>
      <c r="W28" s="25" t="n">
        <v>561</v>
      </c>
      <c r="X28" s="28" t="n">
        <f aca="false">IF(F28=0,"-",L28/F28)</f>
        <v>0</v>
      </c>
      <c r="Y28" s="28" t="n">
        <f aca="false">IF(F28=0,"-",R28/F28)</f>
        <v>0</v>
      </c>
      <c r="Z28" s="28" t="n">
        <f aca="false">IF(I28=0,"-",O28/I28)</f>
        <v>1.49986641731232</v>
      </c>
      <c r="AA28" s="28" t="n">
        <f aca="false">IF(I28=0,"-",U28/I28)</f>
        <v>2.20010686615015</v>
      </c>
    </row>
    <row r="29" customFormat="false" ht="15" hidden="false" customHeight="false" outlineLevel="0" collapsed="false">
      <c r="A29" s="4" t="n">
        <v>26</v>
      </c>
      <c r="B29" s="4" t="s">
        <v>90</v>
      </c>
      <c r="C29" s="4" t="n">
        <v>22</v>
      </c>
      <c r="D29" s="4" t="n">
        <v>3</v>
      </c>
      <c r="E29" s="4" t="n">
        <v>5</v>
      </c>
      <c r="F29" s="26" t="n">
        <v>34570</v>
      </c>
      <c r="G29" s="26" t="n">
        <v>311</v>
      </c>
      <c r="H29" s="30" t="s">
        <v>118</v>
      </c>
      <c r="I29" s="26" t="n">
        <v>3918</v>
      </c>
      <c r="J29" s="26" t="n">
        <v>24302</v>
      </c>
      <c r="K29" s="25" t="n">
        <v>93</v>
      </c>
      <c r="L29" s="26" t="n">
        <v>0</v>
      </c>
      <c r="M29" s="26" t="n">
        <v>580</v>
      </c>
      <c r="N29" s="30" t="s">
        <v>121</v>
      </c>
      <c r="O29" s="26" t="n">
        <v>5877</v>
      </c>
      <c r="P29" s="26" t="n">
        <v>36453</v>
      </c>
      <c r="Q29" s="25" t="n">
        <v>308</v>
      </c>
      <c r="R29" s="26" t="n">
        <v>0</v>
      </c>
      <c r="S29" s="26" t="n">
        <v>804</v>
      </c>
      <c r="T29" s="30" t="s">
        <v>122</v>
      </c>
      <c r="U29" s="26" t="n">
        <v>8620</v>
      </c>
      <c r="V29" s="26" t="n">
        <v>53464</v>
      </c>
      <c r="W29" s="25" t="n">
        <v>572</v>
      </c>
      <c r="X29" s="28" t="n">
        <f aca="false">IF(F29=0,"-",L29/F29)</f>
        <v>0</v>
      </c>
      <c r="Y29" s="28" t="n">
        <f aca="false">IF(F29=0,"-",R29/F29)</f>
        <v>0</v>
      </c>
      <c r="Z29" s="28" t="n">
        <f aca="false">IF(I29=0,"-",O29/I29)</f>
        <v>1.5</v>
      </c>
      <c r="AA29" s="28" t="n">
        <f aca="false">IF(I29=0,"-",U29/I29)</f>
        <v>2.20010209290454</v>
      </c>
    </row>
    <row r="30" customFormat="false" ht="15" hidden="false" customHeight="false" outlineLevel="0" collapsed="false">
      <c r="A30" s="4" t="n">
        <v>27</v>
      </c>
      <c r="B30" s="4" t="s">
        <v>92</v>
      </c>
      <c r="C30" s="4" t="n">
        <v>23</v>
      </c>
      <c r="D30" s="4" t="n">
        <v>3</v>
      </c>
      <c r="E30" s="4" t="n">
        <v>4</v>
      </c>
      <c r="F30" s="26" t="n">
        <v>38757</v>
      </c>
      <c r="G30" s="26" t="n">
        <v>318</v>
      </c>
      <c r="H30" s="30" t="s">
        <v>118</v>
      </c>
      <c r="I30" s="26" t="n">
        <v>4137</v>
      </c>
      <c r="J30" s="26" t="n">
        <v>25200</v>
      </c>
      <c r="K30" s="25" t="n">
        <v>104</v>
      </c>
      <c r="L30" s="26" t="n">
        <v>0</v>
      </c>
      <c r="M30" s="26" t="n">
        <v>684</v>
      </c>
      <c r="N30" s="30" t="s">
        <v>122</v>
      </c>
      <c r="O30" s="26" t="n">
        <v>6206</v>
      </c>
      <c r="P30" s="26" t="n">
        <v>37800</v>
      </c>
      <c r="Q30" s="25" t="n">
        <v>350</v>
      </c>
      <c r="R30" s="26" t="n">
        <v>0</v>
      </c>
      <c r="S30" s="26" t="n">
        <v>939</v>
      </c>
      <c r="T30" s="30" t="s">
        <v>122</v>
      </c>
      <c r="U30" s="26" t="n">
        <v>9101</v>
      </c>
      <c r="V30" s="26" t="n">
        <v>55440</v>
      </c>
      <c r="W30" s="25" t="n">
        <v>652</v>
      </c>
      <c r="X30" s="28" t="n">
        <f aca="false">IF(F30=0,"-",L30/F30)</f>
        <v>0</v>
      </c>
      <c r="Y30" s="28" t="n">
        <f aca="false">IF(F30=0,"-",R30/F30)</f>
        <v>0</v>
      </c>
      <c r="Z30" s="28" t="n">
        <f aca="false">IF(I30=0,"-",O30/I30)</f>
        <v>1.50012086052695</v>
      </c>
      <c r="AA30" s="28" t="n">
        <f aca="false">IF(I30=0,"-",U30/I30)</f>
        <v>2.19990331157844</v>
      </c>
    </row>
    <row r="31" customFormat="false" ht="15" hidden="false" customHeight="false" outlineLevel="0" collapsed="false">
      <c r="A31" s="4" t="n">
        <v>28</v>
      </c>
      <c r="B31" s="4" t="s">
        <v>94</v>
      </c>
      <c r="C31" s="4" t="n">
        <v>24</v>
      </c>
      <c r="D31" s="4" t="n">
        <v>4</v>
      </c>
      <c r="E31" s="4" t="n">
        <v>7</v>
      </c>
      <c r="F31" s="26" t="n">
        <v>56535</v>
      </c>
      <c r="G31" s="26" t="n">
        <v>333</v>
      </c>
      <c r="H31" s="30" t="s">
        <v>118</v>
      </c>
      <c r="I31" s="26" t="n">
        <v>4368</v>
      </c>
      <c r="J31" s="26" t="n">
        <v>26100</v>
      </c>
      <c r="K31" s="25" t="n">
        <v>125</v>
      </c>
      <c r="L31" s="26" t="n">
        <v>0</v>
      </c>
      <c r="M31" s="26" t="n">
        <v>613</v>
      </c>
      <c r="N31" s="30" t="s">
        <v>121</v>
      </c>
      <c r="O31" s="26" t="n">
        <v>6552</v>
      </c>
      <c r="P31" s="26" t="n">
        <v>39150</v>
      </c>
      <c r="Q31" s="25" t="n">
        <v>427</v>
      </c>
      <c r="R31" s="26" t="n">
        <v>0</v>
      </c>
      <c r="S31" s="26" t="n">
        <v>832</v>
      </c>
      <c r="T31" s="30" t="s">
        <v>122</v>
      </c>
      <c r="U31" s="26" t="n">
        <v>9610</v>
      </c>
      <c r="V31" s="26" t="n">
        <v>57420</v>
      </c>
      <c r="W31" s="25" t="n">
        <v>798</v>
      </c>
      <c r="X31" s="28" t="n">
        <f aca="false">IF(F31=0,"-",L31/F31)</f>
        <v>0</v>
      </c>
      <c r="Y31" s="28" t="n">
        <f aca="false">IF(F31=0,"-",R31/F31)</f>
        <v>0</v>
      </c>
      <c r="Z31" s="28" t="n">
        <f aca="false">IF(I31=0,"-",O31/I31)</f>
        <v>1.5</v>
      </c>
      <c r="AA31" s="28" t="n">
        <f aca="false">IF(I31=0,"-",U31/I31)</f>
        <v>2.20009157509158</v>
      </c>
    </row>
    <row r="32" customFormat="false" ht="15" hidden="false" customHeight="false" outlineLevel="0" collapsed="false">
      <c r="A32" s="4" t="n">
        <v>29</v>
      </c>
      <c r="B32" s="4" t="s">
        <v>96</v>
      </c>
      <c r="C32" s="4" t="n">
        <v>25</v>
      </c>
      <c r="D32" s="4" t="n">
        <v>5</v>
      </c>
      <c r="E32" s="4" t="n">
        <v>5</v>
      </c>
      <c r="F32" s="26" t="n">
        <v>58736</v>
      </c>
      <c r="G32" s="26" t="n">
        <v>339</v>
      </c>
      <c r="H32" s="30" t="s">
        <v>118</v>
      </c>
      <c r="I32" s="26" t="n">
        <v>4558</v>
      </c>
      <c r="J32" s="26" t="n">
        <v>27000</v>
      </c>
      <c r="K32" s="25" t="n">
        <v>190</v>
      </c>
      <c r="L32" s="26" t="n">
        <v>0</v>
      </c>
      <c r="M32" s="26" t="n">
        <v>951</v>
      </c>
      <c r="N32" s="30" t="s">
        <v>122</v>
      </c>
      <c r="O32" s="26" t="n">
        <v>6837</v>
      </c>
      <c r="P32" s="26" t="n">
        <v>40500</v>
      </c>
      <c r="Q32" s="25" t="n">
        <v>656</v>
      </c>
      <c r="R32" s="26" t="n">
        <v>0</v>
      </c>
      <c r="S32" s="26" t="n">
        <v>1277</v>
      </c>
      <c r="T32" s="30" t="s">
        <v>123</v>
      </c>
      <c r="U32" s="26" t="n">
        <v>10028</v>
      </c>
      <c r="V32" s="26" t="n">
        <v>59400</v>
      </c>
      <c r="W32" s="25" t="n">
        <v>1236</v>
      </c>
      <c r="X32" s="28" t="n">
        <f aca="false">IF(F32=0,"-",L32/F32)</f>
        <v>0</v>
      </c>
      <c r="Y32" s="28" t="n">
        <f aca="false">IF(F32=0,"-",R32/F32)</f>
        <v>0</v>
      </c>
      <c r="Z32" s="28" t="n">
        <f aca="false">IF(I32=0,"-",O32/I32)</f>
        <v>1.5</v>
      </c>
      <c r="AA32" s="28" t="n">
        <f aca="false">IF(I32=0,"-",U32/I32)</f>
        <v>2.2000877577885</v>
      </c>
    </row>
    <row r="33" customFormat="false" ht="15" hidden="false" customHeight="false" outlineLevel="0" collapsed="false">
      <c r="A33" s="4" t="n">
        <v>30</v>
      </c>
      <c r="B33" s="4" t="s">
        <v>98</v>
      </c>
      <c r="C33" s="4" t="n">
        <v>25</v>
      </c>
      <c r="D33" s="4" t="n">
        <v>3</v>
      </c>
      <c r="E33" s="4" t="n">
        <v>5</v>
      </c>
      <c r="F33" s="26" t="n">
        <v>55367</v>
      </c>
      <c r="G33" s="26" t="n">
        <v>346</v>
      </c>
      <c r="H33" s="30" t="s">
        <v>118</v>
      </c>
      <c r="I33" s="26" t="n">
        <v>4736</v>
      </c>
      <c r="J33" s="26" t="n">
        <v>28800</v>
      </c>
      <c r="K33" s="25" t="n">
        <v>118</v>
      </c>
      <c r="L33" s="26" t="n">
        <v>0</v>
      </c>
      <c r="M33" s="26" t="n">
        <v>712</v>
      </c>
      <c r="N33" s="30" t="s">
        <v>122</v>
      </c>
      <c r="O33" s="26" t="n">
        <v>7104</v>
      </c>
      <c r="P33" s="26" t="n">
        <v>43200</v>
      </c>
      <c r="Q33" s="25" t="n">
        <v>391</v>
      </c>
      <c r="R33" s="26" t="n">
        <v>0</v>
      </c>
      <c r="S33" s="26" t="n">
        <v>949</v>
      </c>
      <c r="T33" s="30" t="s">
        <v>122</v>
      </c>
      <c r="U33" s="26" t="n">
        <v>10419</v>
      </c>
      <c r="V33" s="26" t="n">
        <v>63360</v>
      </c>
      <c r="W33" s="25" t="n">
        <v>740</v>
      </c>
      <c r="X33" s="28" t="n">
        <f aca="false">IF(F33=0,"-",L33/F33)</f>
        <v>0</v>
      </c>
      <c r="Y33" s="28" t="n">
        <f aca="false">IF(F33=0,"-",R33/F33)</f>
        <v>0</v>
      </c>
      <c r="Z33" s="28" t="n">
        <f aca="false">IF(I33=0,"-",O33/I33)</f>
        <v>1.5</v>
      </c>
      <c r="AA33" s="28" t="n">
        <f aca="false">IF(I33=0,"-",U33/I33)</f>
        <v>2.19995777027027</v>
      </c>
    </row>
    <row r="35" customFormat="false" ht="15" hidden="false" customHeight="false" outlineLevel="0" collapsed="false">
      <c r="A35" s="2" t="s">
        <v>124</v>
      </c>
    </row>
  </sheetData>
  <mergeCells count="9">
    <mergeCell ref="A2:A3"/>
    <mergeCell ref="B2:B3"/>
    <mergeCell ref="C2:C3"/>
    <mergeCell ref="D2:D3"/>
    <mergeCell ref="E2:E3"/>
    <mergeCell ref="F2:K2"/>
    <mergeCell ref="L2:Q2"/>
    <mergeCell ref="R2:W2"/>
    <mergeCell ref="X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6" min="2" style="0" width="13"/>
  </cols>
  <sheetData>
    <row r="1" customFormat="false" ht="17.15" hidden="false" customHeight="false" outlineLevel="0" collapsed="false">
      <c r="A1" s="16" t="s">
        <v>125</v>
      </c>
    </row>
    <row r="2" customFormat="false" ht="43.5" hidden="false" customHeight="true" outlineLevel="0" collapsed="false">
      <c r="A2" s="3" t="s">
        <v>29</v>
      </c>
      <c r="B2" s="3" t="s">
        <v>126</v>
      </c>
      <c r="C2" s="3" t="s">
        <v>127</v>
      </c>
      <c r="D2" s="3" t="s">
        <v>128</v>
      </c>
      <c r="E2" s="3" t="s">
        <v>129</v>
      </c>
      <c r="F2" s="3" t="s">
        <v>130</v>
      </c>
      <c r="G2" s="3" t="s">
        <v>131</v>
      </c>
      <c r="H2" s="3" t="s">
        <v>132</v>
      </c>
      <c r="I2" s="3" t="s">
        <v>133</v>
      </c>
      <c r="J2" s="3" t="s">
        <v>134</v>
      </c>
      <c r="K2" s="3" t="s">
        <v>135</v>
      </c>
      <c r="L2" s="3" t="s">
        <v>136</v>
      </c>
      <c r="M2" s="3" t="s">
        <v>137</v>
      </c>
      <c r="N2" s="3" t="s">
        <v>138</v>
      </c>
      <c r="O2" s="3" t="s">
        <v>139</v>
      </c>
      <c r="P2" s="3" t="s">
        <v>140</v>
      </c>
    </row>
    <row r="3" customFormat="false" ht="15" hidden="false" customHeight="false" outlineLevel="0" collapsed="false">
      <c r="A3" s="31" t="n">
        <v>1</v>
      </c>
      <c r="B3" s="32" t="n">
        <v>1</v>
      </c>
      <c r="C3" s="32" t="n">
        <v>1</v>
      </c>
      <c r="D3" s="32" t="n">
        <v>1</v>
      </c>
      <c r="E3" s="32" t="n">
        <v>1.151</v>
      </c>
      <c r="F3" s="32" t="n">
        <v>1.09</v>
      </c>
      <c r="G3" s="32" t="n">
        <v>1.003</v>
      </c>
      <c r="H3" s="32" t="n">
        <v>1.369</v>
      </c>
      <c r="I3" s="32" t="n">
        <v>1.215</v>
      </c>
      <c r="J3" s="32" t="n">
        <v>1.009</v>
      </c>
      <c r="K3" s="8" t="n">
        <v>32</v>
      </c>
      <c r="L3" s="8" t="n">
        <v>62</v>
      </c>
      <c r="M3" s="6" t="n">
        <f aca="false">E3/D3^0.7*B3</f>
        <v>1.151</v>
      </c>
      <c r="N3" s="6" t="n">
        <f aca="false">H3/D3^0.7*B3</f>
        <v>1.369</v>
      </c>
      <c r="O3" s="6" t="n">
        <f aca="false">F3/D3^0.3*C3</f>
        <v>1.09</v>
      </c>
      <c r="P3" s="6" t="n">
        <f aca="false">I3/D3^0.3*C3</f>
        <v>1.215</v>
      </c>
    </row>
    <row r="4" customFormat="false" ht="15" hidden="false" customHeight="false" outlineLevel="0" collapsed="false">
      <c r="A4" s="31" t="n">
        <v>2</v>
      </c>
      <c r="B4" s="32" t="n">
        <v>1.25</v>
      </c>
      <c r="C4" s="32" t="n">
        <v>1</v>
      </c>
      <c r="D4" s="32" t="n">
        <v>1</v>
      </c>
      <c r="E4" s="32" t="n">
        <v>1.151</v>
      </c>
      <c r="F4" s="32" t="n">
        <v>1.09</v>
      </c>
      <c r="G4" s="32" t="n">
        <v>1.003</v>
      </c>
      <c r="H4" s="32" t="n">
        <v>1.369</v>
      </c>
      <c r="I4" s="32" t="n">
        <v>1.215</v>
      </c>
      <c r="J4" s="32" t="n">
        <v>1.009</v>
      </c>
      <c r="K4" s="8" t="n">
        <v>30</v>
      </c>
      <c r="L4" s="8" t="n">
        <v>59</v>
      </c>
      <c r="M4" s="6" t="n">
        <f aca="false">E4/D4^0.7*B4</f>
        <v>1.43875</v>
      </c>
      <c r="N4" s="6" t="n">
        <f aca="false">H4/D4^0.7*B4</f>
        <v>1.71125</v>
      </c>
      <c r="O4" s="6" t="n">
        <f aca="false">F4/D4^0.3*C4</f>
        <v>1.09</v>
      </c>
      <c r="P4" s="6" t="n">
        <f aca="false">I4/D4^0.3*C4</f>
        <v>1.215</v>
      </c>
    </row>
    <row r="5" customFormat="false" ht="15" hidden="false" customHeight="false" outlineLevel="0" collapsed="false">
      <c r="A5" s="31" t="n">
        <v>3</v>
      </c>
      <c r="B5" s="32" t="n">
        <v>1.25</v>
      </c>
      <c r="C5" s="32" t="n">
        <v>1</v>
      </c>
      <c r="D5" s="32" t="n">
        <v>1</v>
      </c>
      <c r="E5" s="32" t="n">
        <v>1.151</v>
      </c>
      <c r="F5" s="32" t="n">
        <v>1.09</v>
      </c>
      <c r="G5" s="32" t="n">
        <v>1.003</v>
      </c>
      <c r="H5" s="32" t="n">
        <v>1.369</v>
      </c>
      <c r="I5" s="32" t="n">
        <v>1.215</v>
      </c>
      <c r="J5" s="32" t="n">
        <v>1.009</v>
      </c>
      <c r="K5" s="8" t="n">
        <v>28</v>
      </c>
      <c r="L5" s="8" t="n">
        <v>56</v>
      </c>
      <c r="M5" s="6" t="n">
        <f aca="false">E5/D5^0.7*B5</f>
        <v>1.43875</v>
      </c>
      <c r="N5" s="6" t="n">
        <f aca="false">H5/D5^0.7*B5</f>
        <v>1.71125</v>
      </c>
      <c r="O5" s="6" t="n">
        <f aca="false">F5/D5^0.3*C5</f>
        <v>1.09</v>
      </c>
      <c r="P5" s="6" t="n">
        <f aca="false">I5/D5^0.3*C5</f>
        <v>1.215</v>
      </c>
    </row>
    <row r="6" customFormat="false" ht="15" hidden="false" customHeight="false" outlineLevel="0" collapsed="false">
      <c r="A6" s="31" t="n">
        <v>4</v>
      </c>
      <c r="B6" s="32" t="n">
        <v>1.2</v>
      </c>
      <c r="C6" s="32" t="n">
        <v>1</v>
      </c>
      <c r="D6" s="32" t="n">
        <v>1.3</v>
      </c>
      <c r="E6" s="32" t="n">
        <v>1.151</v>
      </c>
      <c r="F6" s="32" t="n">
        <v>1.09</v>
      </c>
      <c r="G6" s="32" t="n">
        <v>1.003</v>
      </c>
      <c r="H6" s="32" t="n">
        <v>1.369</v>
      </c>
      <c r="I6" s="32" t="n">
        <v>1.215</v>
      </c>
      <c r="J6" s="32" t="n">
        <v>1.009</v>
      </c>
      <c r="K6" s="8" t="n">
        <v>26</v>
      </c>
      <c r="L6" s="8" t="n">
        <v>53</v>
      </c>
      <c r="M6" s="6" t="n">
        <f aca="false">E6/D6^0.7*B6</f>
        <v>1.14946624679063</v>
      </c>
      <c r="N6" s="6" t="n">
        <f aca="false">H6/D6^0.7*B6</f>
        <v>1.36717575313325</v>
      </c>
      <c r="O6" s="6" t="n">
        <f aca="false">F6/D6^0.3*C6</f>
        <v>1.00749637508409</v>
      </c>
      <c r="P6" s="6" t="n">
        <f aca="false">I6/D6^0.3*C6</f>
        <v>1.12303495020841</v>
      </c>
    </row>
    <row r="7" customFormat="false" ht="15" hidden="false" customHeight="false" outlineLevel="0" collapsed="false">
      <c r="A7" s="31" t="n">
        <v>5</v>
      </c>
      <c r="B7" s="32" t="n">
        <v>1.1</v>
      </c>
      <c r="C7" s="32" t="n">
        <v>1</v>
      </c>
      <c r="D7" s="32" t="n">
        <v>1.5</v>
      </c>
      <c r="E7" s="32" t="n">
        <v>1.05</v>
      </c>
      <c r="F7" s="32" t="n">
        <v>1.03</v>
      </c>
      <c r="G7" s="32" t="n">
        <v>1.001</v>
      </c>
      <c r="H7" s="32" t="n">
        <v>1.123</v>
      </c>
      <c r="I7" s="32" t="n">
        <v>1.072</v>
      </c>
      <c r="J7" s="32" t="n">
        <v>1.003</v>
      </c>
      <c r="K7" s="8" t="n">
        <v>24</v>
      </c>
      <c r="L7" s="8" t="n">
        <v>50</v>
      </c>
      <c r="M7" s="6" t="n">
        <f aca="false">E7/D7^0.7*B7</f>
        <v>0.869597140301779</v>
      </c>
      <c r="N7" s="6" t="n">
        <f aca="false">H7/D7^0.7*B7</f>
        <v>0.930054846246569</v>
      </c>
      <c r="O7" s="6" t="n">
        <f aca="false">F7/D7^0.3*C7</f>
        <v>0.912031518094423</v>
      </c>
      <c r="P7" s="6" t="n">
        <f aca="false">I7/D7^0.3*C7</f>
        <v>0.949221152812836</v>
      </c>
    </row>
    <row r="8" customFormat="false" ht="15" hidden="false" customHeight="false" outlineLevel="0" collapsed="false">
      <c r="A8" s="31" t="n">
        <v>6</v>
      </c>
      <c r="B8" s="32" t="n">
        <v>1</v>
      </c>
      <c r="C8" s="32" t="n">
        <v>1</v>
      </c>
      <c r="D8" s="32" t="n">
        <v>1.5</v>
      </c>
      <c r="E8" s="32" t="n">
        <v>1.05</v>
      </c>
      <c r="F8" s="32" t="n">
        <v>1.03</v>
      </c>
      <c r="G8" s="32" t="n">
        <v>1.001</v>
      </c>
      <c r="H8" s="32" t="n">
        <v>1.123</v>
      </c>
      <c r="I8" s="32" t="n">
        <v>1.072</v>
      </c>
      <c r="J8" s="32" t="n">
        <v>1.003</v>
      </c>
      <c r="K8" s="8" t="n">
        <v>23</v>
      </c>
      <c r="L8" s="8" t="n">
        <v>47</v>
      </c>
      <c r="M8" s="6" t="n">
        <f aca="false">E8/D8^0.7*B8</f>
        <v>0.790542854819799</v>
      </c>
      <c r="N8" s="6" t="n">
        <f aca="false">H8/D8^0.7*B8</f>
        <v>0.845504405678699</v>
      </c>
      <c r="O8" s="6" t="n">
        <f aca="false">F8/D8^0.3*C8</f>
        <v>0.912031518094423</v>
      </c>
      <c r="P8" s="6" t="n">
        <f aca="false">I8/D8^0.3*C8</f>
        <v>0.949221152812836</v>
      </c>
    </row>
    <row r="9" customFormat="false" ht="15" hidden="false" customHeight="false" outlineLevel="0" collapsed="false">
      <c r="A9" s="31" t="n">
        <v>7</v>
      </c>
      <c r="B9" s="32" t="n">
        <v>1.45</v>
      </c>
      <c r="C9" s="32" t="n">
        <v>0.788</v>
      </c>
      <c r="D9" s="32" t="n">
        <v>0.6</v>
      </c>
      <c r="E9" s="32" t="n">
        <v>1.704</v>
      </c>
      <c r="F9" s="32" t="n">
        <v>1.421</v>
      </c>
      <c r="G9" s="32" t="n">
        <v>1.014</v>
      </c>
      <c r="H9" s="32" t="n">
        <v>2.723</v>
      </c>
      <c r="I9" s="32" t="n">
        <v>2.004</v>
      </c>
      <c r="J9" s="32" t="n">
        <v>1.041</v>
      </c>
      <c r="K9" s="8" t="n">
        <v>21</v>
      </c>
      <c r="L9" s="8" t="n">
        <v>44</v>
      </c>
      <c r="M9" s="6" t="n">
        <f aca="false">E9/D9^0.7*B9</f>
        <v>3.53290303142878</v>
      </c>
      <c r="N9" s="6" t="n">
        <f aca="false">H9/D9^0.7*B9</f>
        <v>5.6455956306224</v>
      </c>
      <c r="O9" s="6" t="n">
        <f aca="false">F9/D9^0.3*C9</f>
        <v>1.30519355413363</v>
      </c>
      <c r="P9" s="6" t="n">
        <f aca="false">I9/D9^0.3*C9</f>
        <v>1.84068112771555</v>
      </c>
    </row>
    <row r="10" customFormat="false" ht="15" hidden="false" customHeight="false" outlineLevel="0" collapsed="false">
      <c r="A10" s="31" t="n">
        <v>8</v>
      </c>
      <c r="B10" s="32" t="n">
        <v>1.5</v>
      </c>
      <c r="C10" s="32" t="n">
        <v>1.055</v>
      </c>
      <c r="D10" s="32" t="n">
        <v>0.6</v>
      </c>
      <c r="E10" s="32" t="n">
        <v>1.734</v>
      </c>
      <c r="F10" s="32" t="n">
        <v>1.439</v>
      </c>
      <c r="G10" s="32" t="n">
        <v>1.015</v>
      </c>
      <c r="H10" s="32" t="n">
        <v>2.797</v>
      </c>
      <c r="I10" s="32" t="n">
        <v>2.047</v>
      </c>
      <c r="J10" s="32" t="n">
        <v>1.042</v>
      </c>
      <c r="K10" s="8" t="n">
        <v>20</v>
      </c>
      <c r="L10" s="8" t="n">
        <v>42</v>
      </c>
      <c r="M10" s="6" t="n">
        <f aca="false">E10/D10^0.7*B10</f>
        <v>3.71907106392515</v>
      </c>
      <c r="N10" s="6" t="n">
        <f aca="false">H10/D10^0.7*B10</f>
        <v>5.99898602410533</v>
      </c>
      <c r="O10" s="6" t="n">
        <f aca="false">F10/D10^0.3*C10</f>
        <v>1.76957053572786</v>
      </c>
      <c r="P10" s="6" t="n">
        <f aca="false">I10/D10^0.3*C10</f>
        <v>2.51724175582691</v>
      </c>
    </row>
    <row r="11" customFormat="false" ht="15" hidden="false" customHeight="false" outlineLevel="0" collapsed="false">
      <c r="A11" s="31" t="n">
        <v>9</v>
      </c>
      <c r="B11" s="32" t="n">
        <v>1.55</v>
      </c>
      <c r="C11" s="32" t="n">
        <v>0.795</v>
      </c>
      <c r="D11" s="32" t="n">
        <v>0.6</v>
      </c>
      <c r="E11" s="32" t="n">
        <v>1.764</v>
      </c>
      <c r="F11" s="32" t="n">
        <v>1.458</v>
      </c>
      <c r="G11" s="32" t="n">
        <v>1.016</v>
      </c>
      <c r="H11" s="32" t="n">
        <v>2.87</v>
      </c>
      <c r="I11" s="32" t="n">
        <v>2.09</v>
      </c>
      <c r="J11" s="32" t="n">
        <v>1.044</v>
      </c>
      <c r="K11" s="8" t="n">
        <v>19</v>
      </c>
      <c r="L11" s="8" t="n">
        <v>41</v>
      </c>
      <c r="M11" s="6" t="n">
        <f aca="false">E11/D11^0.7*B11</f>
        <v>3.90952868242374</v>
      </c>
      <c r="N11" s="6" t="n">
        <f aca="false">H11/D11^0.7*B11</f>
        <v>6.3607411102926</v>
      </c>
      <c r="O11" s="6" t="n">
        <f aca="false">F11/D11^0.3*C11</f>
        <v>1.35107443865212</v>
      </c>
      <c r="P11" s="6" t="n">
        <f aca="false">I11/D11^0.3*C11</f>
        <v>1.93672536130516</v>
      </c>
    </row>
    <row r="12" customFormat="false" ht="15" hidden="false" customHeight="false" outlineLevel="0" collapsed="false">
      <c r="A12" s="31" t="n">
        <v>10</v>
      </c>
      <c r="B12" s="32" t="n">
        <v>1.6</v>
      </c>
      <c r="C12" s="32" t="n">
        <v>0.927</v>
      </c>
      <c r="D12" s="32" t="n">
        <v>0.6</v>
      </c>
      <c r="E12" s="32" t="n">
        <v>1.794</v>
      </c>
      <c r="F12" s="32" t="n">
        <v>1.476</v>
      </c>
      <c r="G12" s="32" t="n">
        <v>1.016</v>
      </c>
      <c r="H12" s="32" t="n">
        <v>2.944</v>
      </c>
      <c r="I12" s="32" t="n">
        <v>2.133</v>
      </c>
      <c r="J12" s="32" t="n">
        <v>1.046</v>
      </c>
      <c r="K12" s="8" t="n">
        <v>18</v>
      </c>
      <c r="L12" s="8" t="n">
        <v>39</v>
      </c>
      <c r="M12" s="6" t="n">
        <f aca="false">E12/D12^0.7*B12</f>
        <v>4.10427588692455</v>
      </c>
      <c r="N12" s="6" t="n">
        <f aca="false">H12/D12^0.7*B12</f>
        <v>6.73522196828644</v>
      </c>
      <c r="O12" s="6" t="n">
        <f aca="false">F12/D12^0.3*C12</f>
        <v>1.59485320878487</v>
      </c>
      <c r="P12" s="6" t="n">
        <f aca="false">I12/D12^0.3*C12</f>
        <v>2.3047573809879</v>
      </c>
    </row>
    <row r="13" customFormat="false" ht="15" hidden="false" customHeight="false" outlineLevel="0" collapsed="false">
      <c r="A13" s="31" t="n">
        <v>11</v>
      </c>
      <c r="B13" s="32" t="n">
        <v>1.65</v>
      </c>
      <c r="C13" s="32" t="n">
        <v>1.049</v>
      </c>
      <c r="D13" s="32" t="n">
        <v>0.6</v>
      </c>
      <c r="E13" s="32" t="n">
        <v>1.824</v>
      </c>
      <c r="F13" s="32" t="n">
        <v>1.494</v>
      </c>
      <c r="G13" s="32" t="n">
        <v>1.017</v>
      </c>
      <c r="H13" s="32" t="n">
        <v>3.018</v>
      </c>
      <c r="I13" s="32" t="n">
        <v>2.176</v>
      </c>
      <c r="J13" s="32" t="n">
        <v>1.047</v>
      </c>
      <c r="K13" s="8" t="n">
        <v>17</v>
      </c>
      <c r="L13" s="8" t="n">
        <v>37</v>
      </c>
      <c r="M13" s="6" t="n">
        <f aca="false">E13/D13^0.7*B13</f>
        <v>4.30331267742758</v>
      </c>
      <c r="N13" s="6" t="n">
        <f aca="false">H13/D13^0.7*B13</f>
        <v>7.12028380508577</v>
      </c>
      <c r="O13" s="6" t="n">
        <f aca="false">F13/D13^0.3*C13</f>
        <v>1.82675670704439</v>
      </c>
      <c r="P13" s="6" t="n">
        <f aca="false">I13/D13^0.3*C13</f>
        <v>2.66065769379424</v>
      </c>
    </row>
    <row r="14" customFormat="false" ht="15" hidden="false" customHeight="false" outlineLevel="0" collapsed="false">
      <c r="A14" s="31" t="n">
        <v>12</v>
      </c>
      <c r="B14" s="32" t="n">
        <v>1.7</v>
      </c>
      <c r="C14" s="32" t="n">
        <v>0.881</v>
      </c>
      <c r="D14" s="32" t="n">
        <v>0.65</v>
      </c>
      <c r="E14" s="32" t="n">
        <v>1.854</v>
      </c>
      <c r="F14" s="32" t="n">
        <v>1.512</v>
      </c>
      <c r="G14" s="32" t="n">
        <v>1.018</v>
      </c>
      <c r="H14" s="32" t="n">
        <v>3.092</v>
      </c>
      <c r="I14" s="32" t="n">
        <v>2.219</v>
      </c>
      <c r="J14" s="32" t="n">
        <v>1.049</v>
      </c>
      <c r="K14" s="8" t="n">
        <v>16</v>
      </c>
      <c r="L14" s="8" t="n">
        <v>35</v>
      </c>
      <c r="M14" s="6" t="n">
        <f aca="false">E14/D14^0.7*B14</f>
        <v>4.26107620846527</v>
      </c>
      <c r="N14" s="6" t="n">
        <f aca="false">H14/D14^0.7*B14</f>
        <v>7.10639031098955</v>
      </c>
      <c r="O14" s="6" t="n">
        <f aca="false">F14/D14^0.3*C14</f>
        <v>1.51584115019841</v>
      </c>
      <c r="P14" s="6" t="n">
        <f aca="false">I14/D14^0.3*C14</f>
        <v>2.22463724357822</v>
      </c>
    </row>
    <row r="15" customFormat="false" ht="15" hidden="false" customHeight="false" outlineLevel="0" collapsed="false">
      <c r="A15" s="31" t="n">
        <v>13</v>
      </c>
      <c r="B15" s="32" t="n">
        <v>1.75</v>
      </c>
      <c r="C15" s="32" t="n">
        <v>0.961</v>
      </c>
      <c r="D15" s="32" t="n">
        <v>0.65</v>
      </c>
      <c r="E15" s="32" t="n">
        <v>1.884</v>
      </c>
      <c r="F15" s="32" t="n">
        <v>1.53</v>
      </c>
      <c r="G15" s="32" t="n">
        <v>1.018</v>
      </c>
      <c r="H15" s="32" t="n">
        <v>3.166</v>
      </c>
      <c r="I15" s="32" t="n">
        <v>2.262</v>
      </c>
      <c r="J15" s="32" t="n">
        <v>1.051</v>
      </c>
      <c r="K15" s="8" t="n">
        <v>15</v>
      </c>
      <c r="L15" s="8" t="n">
        <v>33</v>
      </c>
      <c r="M15" s="6" t="n">
        <f aca="false">E15/D15^0.7*B15</f>
        <v>4.45737935760835</v>
      </c>
      <c r="N15" s="6" t="n">
        <f aca="false">H15/D15^0.7*B15</f>
        <v>7.490479323879</v>
      </c>
      <c r="O15" s="6" t="n">
        <f aca="false">F15/D15^0.3*C15</f>
        <v>1.67317286030427</v>
      </c>
      <c r="P15" s="6" t="n">
        <f aca="false">I15/D15^0.3*C15</f>
        <v>2.47367124837141</v>
      </c>
    </row>
    <row r="16" customFormat="false" ht="15" hidden="false" customHeight="false" outlineLevel="0" collapsed="false">
      <c r="A16" s="31" t="n">
        <v>14</v>
      </c>
      <c r="B16" s="32" t="n">
        <v>1.8</v>
      </c>
      <c r="C16" s="32" t="n">
        <v>1.063</v>
      </c>
      <c r="D16" s="32" t="n">
        <v>0.6</v>
      </c>
      <c r="E16" s="32" t="n">
        <v>1.915</v>
      </c>
      <c r="F16" s="32" t="n">
        <v>1.548</v>
      </c>
      <c r="G16" s="32" t="n">
        <v>1.019</v>
      </c>
      <c r="H16" s="32" t="n">
        <v>3.24</v>
      </c>
      <c r="I16" s="32" t="n">
        <v>2.305</v>
      </c>
      <c r="J16" s="32" t="n">
        <v>1.053</v>
      </c>
      <c r="K16" s="8" t="n">
        <v>14</v>
      </c>
      <c r="L16" s="8" t="n">
        <v>31</v>
      </c>
      <c r="M16" s="6" t="n">
        <f aca="false">E16/D16^0.7*B16</f>
        <v>4.92873431655133</v>
      </c>
      <c r="N16" s="6" t="n">
        <f aca="false">H16/D16^0.7*B16</f>
        <v>8.3389551883166</v>
      </c>
      <c r="O16" s="6" t="n">
        <f aca="false">F16/D16^0.3*C16</f>
        <v>1.91804523693919</v>
      </c>
      <c r="P16" s="6" t="n">
        <f aca="false">I16/D16^0.3*C16</f>
        <v>2.85600405112715</v>
      </c>
    </row>
    <row r="17" customFormat="false" ht="15" hidden="false" customHeight="false" outlineLevel="0" collapsed="false">
      <c r="A17" s="31" t="n">
        <v>15</v>
      </c>
      <c r="B17" s="32" t="n">
        <v>1.85</v>
      </c>
      <c r="C17" s="32" t="n">
        <v>1.057</v>
      </c>
      <c r="D17" s="32" t="n">
        <v>0.6</v>
      </c>
      <c r="E17" s="32" t="n">
        <v>1.945</v>
      </c>
      <c r="F17" s="32" t="n">
        <v>1.566</v>
      </c>
      <c r="G17" s="32" t="n">
        <v>1.019</v>
      </c>
      <c r="H17" s="32" t="n">
        <v>3.313</v>
      </c>
      <c r="I17" s="32" t="n">
        <v>2.348</v>
      </c>
      <c r="J17" s="32" t="n">
        <v>1.054</v>
      </c>
      <c r="K17" s="8" t="n">
        <v>13</v>
      </c>
      <c r="L17" s="8" t="n">
        <v>29</v>
      </c>
      <c r="M17" s="6" t="n">
        <f aca="false">E17/D17^0.7*B17</f>
        <v>5.14500094416328</v>
      </c>
      <c r="N17" s="6" t="n">
        <f aca="false">H17/D17^0.7*B17</f>
        <v>8.76369569563647</v>
      </c>
      <c r="O17" s="6" t="n">
        <f aca="false">F17/D17^0.3*C17</f>
        <v>1.92939598266962</v>
      </c>
      <c r="P17" s="6" t="n">
        <f aca="false">I17/D17^0.3*C17</f>
        <v>2.89286192037564</v>
      </c>
    </row>
    <row r="18" customFormat="false" ht="15" hidden="false" customHeight="false" outlineLevel="0" collapsed="false">
      <c r="A18" s="31" t="n">
        <v>16</v>
      </c>
      <c r="B18" s="32" t="n">
        <v>1.9</v>
      </c>
      <c r="C18" s="32" t="n">
        <v>1.161</v>
      </c>
      <c r="D18" s="32" t="n">
        <v>0.6</v>
      </c>
      <c r="E18" s="32" t="n">
        <v>1.975</v>
      </c>
      <c r="F18" s="32" t="n">
        <v>1.584</v>
      </c>
      <c r="G18" s="32" t="n">
        <v>1.02</v>
      </c>
      <c r="H18" s="32" t="n">
        <v>3.387</v>
      </c>
      <c r="I18" s="32" t="n">
        <v>2.391</v>
      </c>
      <c r="J18" s="32" t="n">
        <v>1.056</v>
      </c>
      <c r="K18" s="8" t="n">
        <v>13</v>
      </c>
      <c r="L18" s="8" t="n">
        <v>27</v>
      </c>
      <c r="M18" s="6" t="n">
        <f aca="false">E18/D18^0.7*B18</f>
        <v>5.36555715777744</v>
      </c>
      <c r="N18" s="6" t="n">
        <f aca="false">H18/D18^0.7*B18</f>
        <v>9.20159093336314</v>
      </c>
      <c r="O18" s="6" t="n">
        <f aca="false">F18/D18^0.3*C18</f>
        <v>2.14359147834784</v>
      </c>
      <c r="P18" s="6" t="n">
        <f aca="false">I18/D18^0.3*C18</f>
        <v>3.23568637924854</v>
      </c>
    </row>
    <row r="19" customFormat="false" ht="15" hidden="false" customHeight="false" outlineLevel="0" collapsed="false">
      <c r="A19" s="31" t="n">
        <v>17</v>
      </c>
      <c r="B19" s="32" t="n">
        <v>1.95</v>
      </c>
      <c r="C19" s="32" t="n">
        <v>1.1</v>
      </c>
      <c r="D19" s="32" t="n">
        <v>0.6</v>
      </c>
      <c r="E19" s="32" t="n">
        <v>2.005</v>
      </c>
      <c r="F19" s="32" t="n">
        <v>1.602</v>
      </c>
      <c r="G19" s="32" t="n">
        <v>1.021</v>
      </c>
      <c r="H19" s="32" t="n">
        <v>3.461</v>
      </c>
      <c r="I19" s="32" t="n">
        <v>2.434</v>
      </c>
      <c r="J19" s="32" t="n">
        <v>1.058</v>
      </c>
      <c r="K19" s="8" t="n">
        <v>12</v>
      </c>
      <c r="L19" s="8" t="n">
        <v>25</v>
      </c>
      <c r="M19" s="6" t="n">
        <f aca="false">E19/D19^0.7*B19</f>
        <v>5.59040295739383</v>
      </c>
      <c r="N19" s="6" t="n">
        <f aca="false">H19/D19^0.7*B19</f>
        <v>9.65006714989529</v>
      </c>
      <c r="O19" s="6" t="n">
        <f aca="false">F19/D19^0.3*C19</f>
        <v>2.05404437524718</v>
      </c>
      <c r="P19" s="6" t="n">
        <f aca="false">I19/D19^0.3*C19</f>
        <v>3.12081398835932</v>
      </c>
    </row>
    <row r="20" customFormat="false" ht="15" hidden="false" customHeight="false" outlineLevel="0" collapsed="false">
      <c r="A20" s="31" t="n">
        <v>18</v>
      </c>
      <c r="B20" s="32" t="n">
        <v>2</v>
      </c>
      <c r="C20" s="32" t="n">
        <v>0.84</v>
      </c>
      <c r="D20" s="32" t="n">
        <v>0.65</v>
      </c>
      <c r="E20" s="32" t="n">
        <v>2.035</v>
      </c>
      <c r="F20" s="32" t="n">
        <v>1.62</v>
      </c>
      <c r="G20" s="32" t="n">
        <v>1.021</v>
      </c>
      <c r="H20" s="32" t="n">
        <v>3.535</v>
      </c>
      <c r="I20" s="32" t="n">
        <v>2.477</v>
      </c>
      <c r="J20" s="32" t="n">
        <v>1.06</v>
      </c>
      <c r="K20" s="8" t="n">
        <v>11</v>
      </c>
      <c r="L20" s="8" t="n">
        <v>23</v>
      </c>
      <c r="M20" s="6" t="n">
        <f aca="false">E20/D20^0.7*B20</f>
        <v>5.50243675628329</v>
      </c>
      <c r="N20" s="6" t="n">
        <f aca="false">H20/D20^0.7*B20</f>
        <v>9.55828694518988</v>
      </c>
      <c r="O20" s="6" t="n">
        <f aca="false">F20/D20^0.3*C20</f>
        <v>1.548532389533</v>
      </c>
      <c r="P20" s="6" t="n">
        <f aca="false">I20/D20^0.3*C20</f>
        <v>2.36772514127977</v>
      </c>
    </row>
    <row r="21" customFormat="false" ht="15" hidden="false" customHeight="false" outlineLevel="0" collapsed="false">
      <c r="A21" s="31" t="n">
        <v>19</v>
      </c>
      <c r="B21" s="32" t="n">
        <v>2.05</v>
      </c>
      <c r="C21" s="32" t="n">
        <v>1.11</v>
      </c>
      <c r="D21" s="32" t="n">
        <v>0.6</v>
      </c>
      <c r="E21" s="32" t="n">
        <v>2.065</v>
      </c>
      <c r="F21" s="32" t="n">
        <v>1.638</v>
      </c>
      <c r="G21" s="32" t="n">
        <v>1.022</v>
      </c>
      <c r="H21" s="32" t="n">
        <v>3.609</v>
      </c>
      <c r="I21" s="32" t="n">
        <v>2.52</v>
      </c>
      <c r="J21" s="32" t="n">
        <v>1.061</v>
      </c>
      <c r="K21" s="8" t="n">
        <v>10</v>
      </c>
      <c r="L21" s="8" t="n">
        <v>21</v>
      </c>
      <c r="M21" s="6" t="n">
        <f aca="false">E21/D21^0.7*B21</f>
        <v>6.05296331463327</v>
      </c>
      <c r="N21" s="6" t="n">
        <f aca="false">H21/D21^0.7*B21</f>
        <v>10.578762519376</v>
      </c>
      <c r="O21" s="6" t="n">
        <f aca="false">F21/D21^0.3*C21</f>
        <v>2.11929542741285</v>
      </c>
      <c r="P21" s="6" t="n">
        <f aca="false">I21/D21^0.3*C21</f>
        <v>3.26045450371207</v>
      </c>
    </row>
    <row r="22" customFormat="false" ht="15" hidden="false" customHeight="false" outlineLevel="0" collapsed="false">
      <c r="A22" s="31" t="n">
        <v>20</v>
      </c>
      <c r="B22" s="32" t="n">
        <v>2.1</v>
      </c>
      <c r="C22" s="32" t="n">
        <v>1.115</v>
      </c>
      <c r="D22" s="32" t="n">
        <v>0.6</v>
      </c>
      <c r="E22" s="32" t="n">
        <v>2.095</v>
      </c>
      <c r="F22" s="32" t="n">
        <v>1.656</v>
      </c>
      <c r="G22" s="32" t="n">
        <v>1.023</v>
      </c>
      <c r="H22" s="32" t="n">
        <v>3.682</v>
      </c>
      <c r="I22" s="32" t="n">
        <v>2.563</v>
      </c>
      <c r="J22" s="32" t="n">
        <v>1.063</v>
      </c>
      <c r="K22" s="8" t="n">
        <v>9</v>
      </c>
      <c r="L22" s="8" t="n">
        <v>19</v>
      </c>
      <c r="M22" s="6" t="n">
        <f aca="false">E22/D22^0.7*B22</f>
        <v>6.29067787225633</v>
      </c>
      <c r="N22" s="6" t="n">
        <f aca="false">H22/D22^0.7*B22</f>
        <v>11.0559789621231</v>
      </c>
      <c r="O22" s="6" t="n">
        <f aca="false">F22/D22^0.3*C22</f>
        <v>2.15223566918137</v>
      </c>
      <c r="P22" s="6" t="n">
        <f aca="false">I22/D22^0.3*C22</f>
        <v>3.33102658219314</v>
      </c>
    </row>
    <row r="23" customFormat="false" ht="15" hidden="false" customHeight="false" outlineLevel="0" collapsed="false">
      <c r="A23" s="31" t="n">
        <v>21</v>
      </c>
      <c r="B23" s="32" t="n">
        <v>2.15</v>
      </c>
      <c r="C23" s="32" t="n">
        <v>1.12</v>
      </c>
      <c r="D23" s="32" t="n">
        <v>0.6</v>
      </c>
      <c r="E23" s="32" t="n">
        <v>2.126</v>
      </c>
      <c r="F23" s="32" t="n">
        <v>1.674</v>
      </c>
      <c r="G23" s="32" t="n">
        <v>1.023</v>
      </c>
      <c r="H23" s="32" t="n">
        <v>3.756</v>
      </c>
      <c r="I23" s="32" t="n">
        <v>2.606</v>
      </c>
      <c r="J23" s="32" t="n">
        <v>1.065</v>
      </c>
      <c r="K23" s="8" t="n">
        <v>8</v>
      </c>
      <c r="L23" s="8" t="n">
        <v>17</v>
      </c>
      <c r="M23" s="6" t="n">
        <f aca="false">E23/D23^0.7*B23</f>
        <v>6.53575621918319</v>
      </c>
      <c r="N23" s="6" t="n">
        <f aca="false">H23/D23^0.7*B23</f>
        <v>11.5467076007771</v>
      </c>
      <c r="O23" s="6" t="n">
        <f aca="false">F23/D23^0.3*C23</f>
        <v>2.18538572140701</v>
      </c>
      <c r="P23" s="6" t="n">
        <f aca="false">I23/D23^0.3*C23</f>
        <v>3.40209987454401</v>
      </c>
    </row>
    <row r="24" customFormat="false" ht="15" hidden="false" customHeight="false" outlineLevel="0" collapsed="false">
      <c r="A24" s="31" t="n">
        <v>22</v>
      </c>
      <c r="B24" s="32" t="n">
        <v>2.2</v>
      </c>
      <c r="C24" s="32" t="n">
        <v>1.125</v>
      </c>
      <c r="D24" s="32" t="n">
        <v>0.6</v>
      </c>
      <c r="E24" s="32" t="n">
        <v>2.156</v>
      </c>
      <c r="F24" s="32" t="n">
        <v>1.692</v>
      </c>
      <c r="G24" s="32" t="n">
        <v>1.024</v>
      </c>
      <c r="H24" s="32" t="n">
        <v>3.83</v>
      </c>
      <c r="I24" s="32" t="n">
        <v>2.649</v>
      </c>
      <c r="J24" s="32" t="n">
        <v>1.067</v>
      </c>
      <c r="K24" s="8" t="n">
        <v>7</v>
      </c>
      <c r="L24" s="8" t="n">
        <v>15</v>
      </c>
      <c r="M24" s="6" t="n">
        <f aca="false">E24/D24^0.7*B24</f>
        <v>6.78212144191072</v>
      </c>
      <c r="N24" s="6" t="n">
        <f aca="false">H24/D24^0.7*B24</f>
        <v>12.0480172182366</v>
      </c>
      <c r="O24" s="6" t="n">
        <f aca="false">F24/D24^0.3*C24</f>
        <v>2.21874558408978</v>
      </c>
      <c r="P24" s="6" t="n">
        <f aca="false">I24/D24^0.3*C24</f>
        <v>3.47367438076467</v>
      </c>
    </row>
    <row r="25" customFormat="false" ht="15" hidden="false" customHeight="false" outlineLevel="0" collapsed="false">
      <c r="A25" s="31" t="n">
        <v>23</v>
      </c>
      <c r="B25" s="32" t="n">
        <v>2.25</v>
      </c>
      <c r="C25" s="32" t="n">
        <v>1.13</v>
      </c>
      <c r="D25" s="32" t="n">
        <v>0.6</v>
      </c>
      <c r="E25" s="32" t="n">
        <v>2.186</v>
      </c>
      <c r="F25" s="32" t="n">
        <v>1.71</v>
      </c>
      <c r="G25" s="32" t="n">
        <v>1.024</v>
      </c>
      <c r="H25" s="32" t="n">
        <v>3.904</v>
      </c>
      <c r="I25" s="32" t="n">
        <v>2.692</v>
      </c>
      <c r="J25" s="32" t="n">
        <v>1.068</v>
      </c>
      <c r="K25" s="8" t="n">
        <v>6</v>
      </c>
      <c r="L25" s="8" t="n">
        <v>14</v>
      </c>
      <c r="M25" s="6" t="n">
        <f aca="false">E25/D25^0.7*B25</f>
        <v>7.03277625064047</v>
      </c>
      <c r="N25" s="6" t="n">
        <f aca="false">H25/D25^0.7*B25</f>
        <v>12.5599078145016</v>
      </c>
      <c r="O25" s="6" t="n">
        <f aca="false">F25/D25^0.3*C25</f>
        <v>2.25231525722967</v>
      </c>
      <c r="P25" s="6" t="n">
        <f aca="false">I25/D25^0.3*C25</f>
        <v>3.54575010085513</v>
      </c>
    </row>
    <row r="26" customFormat="false" ht="15" hidden="false" customHeight="false" outlineLevel="0" collapsed="false">
      <c r="A26" s="31" t="n">
        <v>24</v>
      </c>
      <c r="B26" s="32" t="n">
        <v>2.3</v>
      </c>
      <c r="C26" s="32" t="n">
        <v>1.135</v>
      </c>
      <c r="D26" s="32" t="n">
        <v>0.6</v>
      </c>
      <c r="E26" s="32" t="n">
        <v>2.216</v>
      </c>
      <c r="F26" s="32" t="n">
        <v>1.728</v>
      </c>
      <c r="G26" s="32" t="n">
        <v>1.025</v>
      </c>
      <c r="H26" s="32" t="n">
        <v>3.978</v>
      </c>
      <c r="I26" s="32" t="n">
        <v>2.735</v>
      </c>
      <c r="J26" s="32" t="n">
        <v>1.07</v>
      </c>
      <c r="K26" s="8" t="n">
        <v>5</v>
      </c>
      <c r="L26" s="8" t="n">
        <v>12</v>
      </c>
      <c r="M26" s="6" t="n">
        <f aca="false">E26/D26^0.7*B26</f>
        <v>7.28772064537244</v>
      </c>
      <c r="N26" s="6" t="n">
        <f aca="false">H26/D26^0.7*B26</f>
        <v>13.082379389572</v>
      </c>
      <c r="O26" s="6" t="n">
        <f aca="false">F26/D26^0.3*C26</f>
        <v>2.28609474082669</v>
      </c>
      <c r="P26" s="6" t="n">
        <f aca="false">I26/D26^0.3*C26</f>
        <v>3.61832703481539</v>
      </c>
    </row>
    <row r="27" customFormat="false" ht="15" hidden="false" customHeight="false" outlineLevel="0" collapsed="false">
      <c r="A27" s="31" t="n">
        <v>25</v>
      </c>
      <c r="B27" s="32" t="n">
        <v>2.35</v>
      </c>
      <c r="C27" s="32" t="n">
        <v>1.14</v>
      </c>
      <c r="D27" s="32" t="n">
        <v>0.6</v>
      </c>
      <c r="E27" s="32" t="n">
        <v>2.246</v>
      </c>
      <c r="F27" s="32" t="n">
        <v>1.746</v>
      </c>
      <c r="G27" s="32" t="n">
        <v>1.026</v>
      </c>
      <c r="H27" s="32" t="n">
        <v>4.052</v>
      </c>
      <c r="I27" s="32" t="n">
        <v>2.778</v>
      </c>
      <c r="J27" s="32" t="n">
        <v>1.072</v>
      </c>
      <c r="K27" s="8" t="n">
        <v>4</v>
      </c>
      <c r="L27" s="8" t="n">
        <v>10</v>
      </c>
      <c r="M27" s="6" t="n">
        <f aca="false">E27/D27^0.7*B27</f>
        <v>7.54695462610663</v>
      </c>
      <c r="N27" s="6" t="n">
        <f aca="false">H27/D27^0.7*B27</f>
        <v>13.6154319434479</v>
      </c>
      <c r="O27" s="6" t="n">
        <f aca="false">F27/D27^0.3*C27</f>
        <v>2.32008403488083</v>
      </c>
      <c r="P27" s="6" t="n">
        <f aca="false">I27/D27^0.3*C27</f>
        <v>3.69140518264544</v>
      </c>
    </row>
    <row r="28" customFormat="false" ht="15" hidden="false" customHeight="false" outlineLevel="0" collapsed="false">
      <c r="A28" s="31" t="n">
        <v>26</v>
      </c>
      <c r="B28" s="32" t="n">
        <v>2.4</v>
      </c>
      <c r="C28" s="32" t="n">
        <v>1.145</v>
      </c>
      <c r="D28" s="32" t="n">
        <v>0.6</v>
      </c>
      <c r="E28" s="32" t="n">
        <v>2.276</v>
      </c>
      <c r="F28" s="32" t="n">
        <v>1.765</v>
      </c>
      <c r="G28" s="32" t="n">
        <v>1.026</v>
      </c>
      <c r="H28" s="32" t="n">
        <v>4.125</v>
      </c>
      <c r="I28" s="32" t="n">
        <v>2.821</v>
      </c>
      <c r="J28" s="32" t="n">
        <v>1.074</v>
      </c>
      <c r="K28" s="8" t="n">
        <v>4</v>
      </c>
      <c r="L28" s="8" t="n">
        <v>8</v>
      </c>
      <c r="M28" s="6" t="n">
        <f aca="false">E28/D28^0.7*B28</f>
        <v>7.81047819284304</v>
      </c>
      <c r="N28" s="6" t="n">
        <f aca="false">H28/D28^0.7*B28</f>
        <v>14.1556338073276</v>
      </c>
      <c r="O28" s="6" t="n">
        <f aca="false">F28/D28^0.3*C28</f>
        <v>2.35561776702213</v>
      </c>
      <c r="P28" s="6" t="n">
        <f aca="false">I28/D28^0.3*C28</f>
        <v>3.76498454434529</v>
      </c>
    </row>
    <row r="29" customFormat="false" ht="15" hidden="false" customHeight="false" outlineLevel="0" collapsed="false">
      <c r="A29" s="31" t="n">
        <v>27</v>
      </c>
      <c r="B29" s="32" t="n">
        <v>2.45</v>
      </c>
      <c r="C29" s="32" t="n">
        <v>1.104</v>
      </c>
      <c r="D29" s="32" t="n">
        <v>0.6</v>
      </c>
      <c r="E29" s="32" t="n">
        <v>2.307</v>
      </c>
      <c r="F29" s="32" t="n">
        <v>1.783</v>
      </c>
      <c r="G29" s="32" t="n">
        <v>1.027</v>
      </c>
      <c r="H29" s="32" t="n">
        <v>4.199</v>
      </c>
      <c r="I29" s="32" t="n">
        <v>2.864</v>
      </c>
      <c r="J29" s="32" t="n">
        <v>1.075</v>
      </c>
      <c r="K29" s="8" t="n">
        <v>3</v>
      </c>
      <c r="L29" s="8" t="n">
        <v>6</v>
      </c>
      <c r="M29" s="6" t="n">
        <f aca="false">E29/D29^0.7*B29</f>
        <v>8.08179450748349</v>
      </c>
      <c r="N29" s="6" t="n">
        <f aca="false">H29/D29^0.7*B29</f>
        <v>14.7097768257144</v>
      </c>
      <c r="O29" s="6" t="n">
        <f aca="false">F29/D29^0.3*C29</f>
        <v>2.29443120965643</v>
      </c>
      <c r="P29" s="6" t="n">
        <f aca="false">I29/D29^0.3*C29</f>
        <v>3.68550251511834</v>
      </c>
    </row>
    <row r="30" customFormat="false" ht="15" hidden="false" customHeight="false" outlineLevel="0" collapsed="false">
      <c r="A30" s="31" t="n">
        <v>28</v>
      </c>
      <c r="B30" s="32" t="n">
        <v>2.5</v>
      </c>
      <c r="C30" s="32" t="n">
        <v>1.155</v>
      </c>
      <c r="D30" s="32" t="n">
        <v>0.6</v>
      </c>
      <c r="E30" s="32" t="n">
        <v>2.337</v>
      </c>
      <c r="F30" s="32" t="n">
        <v>1.801</v>
      </c>
      <c r="G30" s="32" t="n">
        <v>1.028</v>
      </c>
      <c r="H30" s="32" t="n">
        <v>4.273</v>
      </c>
      <c r="I30" s="32" t="n">
        <v>2.907</v>
      </c>
      <c r="J30" s="32" t="n">
        <v>1.077</v>
      </c>
      <c r="K30" s="8" t="n">
        <v>2</v>
      </c>
      <c r="L30" s="8" t="n">
        <v>4</v>
      </c>
      <c r="M30" s="6" t="n">
        <f aca="false">E30/D30^0.7*B30</f>
        <v>8.35396873932437</v>
      </c>
      <c r="N30" s="6" t="n">
        <f aca="false">H30/D30^0.7*B30</f>
        <v>15.2745008229067</v>
      </c>
      <c r="O30" s="6" t="n">
        <f aca="false">F30/D30^0.3*C30</f>
        <v>2.42465706355255</v>
      </c>
      <c r="P30" s="6" t="n">
        <f aca="false">I30/D30^0.3*C30</f>
        <v>3.91364690935439</v>
      </c>
    </row>
    <row r="31" customFormat="false" ht="15" hidden="false" customHeight="false" outlineLevel="0" collapsed="false">
      <c r="A31" s="31" t="n">
        <v>29</v>
      </c>
      <c r="B31" s="32" t="n">
        <v>2.55</v>
      </c>
      <c r="C31" s="32" t="n">
        <v>1.16</v>
      </c>
      <c r="D31" s="32" t="n">
        <v>0.6</v>
      </c>
      <c r="E31" s="32" t="n">
        <v>2.367</v>
      </c>
      <c r="F31" s="32" t="n">
        <v>1.819</v>
      </c>
      <c r="G31" s="32" t="n">
        <v>1.028</v>
      </c>
      <c r="H31" s="32" t="n">
        <v>4.347</v>
      </c>
      <c r="I31" s="32" t="n">
        <v>2.95</v>
      </c>
      <c r="J31" s="32" t="n">
        <v>1.079</v>
      </c>
      <c r="K31" s="8" t="n">
        <v>1</v>
      </c>
      <c r="L31" s="8" t="n">
        <v>2</v>
      </c>
      <c r="M31" s="6" t="n">
        <f aca="false">E31/D31^0.7*B31</f>
        <v>8.63043255716748</v>
      </c>
      <c r="N31" s="6" t="n">
        <f aca="false">H31/D31^0.7*B31</f>
        <v>15.8498057989045</v>
      </c>
      <c r="O31" s="6" t="n">
        <f aca="false">F31/D31^0.3*C31</f>
        <v>2.45949142750344</v>
      </c>
      <c r="P31" s="6" t="n">
        <f aca="false">I31/D31^0.3*C31</f>
        <v>3.98872991266363</v>
      </c>
    </row>
    <row r="32" customFormat="false" ht="15" hidden="false" customHeight="false" outlineLevel="0" collapsed="false">
      <c r="A32" s="31" t="n">
        <v>30</v>
      </c>
      <c r="B32" s="32" t="n">
        <v>2.6</v>
      </c>
      <c r="C32" s="32" t="n">
        <v>1.165</v>
      </c>
      <c r="D32" s="32" t="n">
        <v>0.65</v>
      </c>
      <c r="E32" s="32" t="n">
        <v>2.397</v>
      </c>
      <c r="F32" s="32" t="n">
        <v>1.837</v>
      </c>
      <c r="G32" s="32" t="n">
        <v>1.029</v>
      </c>
      <c r="H32" s="32" t="n">
        <v>4.421</v>
      </c>
      <c r="I32" s="32" t="n">
        <v>2.993</v>
      </c>
      <c r="J32" s="32" t="n">
        <v>1.08</v>
      </c>
      <c r="K32" s="8" t="n">
        <v>0</v>
      </c>
      <c r="L32" s="8" t="n">
        <v>0</v>
      </c>
      <c r="M32" s="6" t="n">
        <f aca="false">E32/D32^0.7*B32</f>
        <v>8.42562318243457</v>
      </c>
      <c r="N32" s="6" t="n">
        <f aca="false">H32/D32^0.7*B32</f>
        <v>15.5401251938019</v>
      </c>
      <c r="O32" s="6" t="n">
        <f aca="false">F32/D32^0.3*C32</f>
        <v>2.4353482580111</v>
      </c>
      <c r="P32" s="6" t="n">
        <f aca="false">I32/D32^0.3*C32</f>
        <v>3.96788096691738</v>
      </c>
    </row>
    <row r="34" customFormat="false" ht="15" hidden="false" customHeight="false" outlineLevel="0" collapsed="false">
      <c r="A34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4" hidden="false" customHeight="false" outlineLevel="0" collapsed="false">
      <c r="A1" s="1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2026-10-20T12:53:30Z</dcterms:created>
  <dc:creator>openpyxl</dc:creator>
  <dc:description/>
  <dc:language>en-US</dc:language>
  <cp:lastModifiedBy/>
  <dcterms:modified xsi:type="dcterms:W3CDTF">2026-10-20T12:53:33Z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